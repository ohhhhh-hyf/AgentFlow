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2">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applyAlignment="1" pivotButton="0" quotePrefix="0" xfId="0">
      <alignment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G18" sqref="G18"/>
    </sheetView>
  </sheetViews>
  <sheetFormatPr baseColWidth="8" defaultColWidth="9" defaultRowHeight="13.5" customHeight="1" outlineLevelCol="0"/>
  <cols>
    <col width="55.375" customWidth="1" style="5" min="1" max="1"/>
    <col width="56.125" customWidth="1" style="5" min="2" max="2"/>
    <col width="9" customWidth="1" style="5" min="3" max="3"/>
    <col width="9" customWidth="1" style="4" min="4" max="4"/>
    <col width="9" customWidth="1" style="4" min="5" max="16384"/>
  </cols>
  <sheetData>
    <row r="1" ht="13.5" customHeight="1" s="10">
      <c r="A1" s="5" t="inlineStr">
        <is>
          <t>文本</t>
        </is>
      </c>
      <c r="B1" s="5" t="inlineStr">
        <is>
          <t>场景</t>
        </is>
      </c>
      <c r="C1" s="9" t="inlineStr">
        <is>
          <t>纪要</t>
        </is>
      </c>
      <c r="D1" s="9" t="inlineStr">
        <is>
          <t>消耗时间</t>
        </is>
      </c>
      <c r="E1" s="9" t="inlineStr">
        <is>
          <t>文本长度</t>
        </is>
      </c>
    </row>
    <row r="2" ht="13.5" customHeight="1" s="10">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s="4" t="inlineStr">
        <is>
          <t># 发布会概况
2025年慕尼黑安全会议期间，中共中央政治局委员、外交部长王毅发表演讲并接受主持人提问，阐述中国对世界多极化的立场。王毅指出世界走向多极化是历史必然，中国主张推动平等有序的世界多极化，并提出四点看法：倡导平等相待、尊重国际法治、践行多边主义、坚持开放共赢。他强调中国是现行国际秩序的受益者和维护者，愿提供公共产品，并回应了关于国际秩序、乌克兰危机和中美关系等热点问题。整体基调坚定务实，展现中国作为多极体系中确定性因素和建设性力量的定位。
# 核心信息
王毅在慕尼黑安全会议上发表演讲，核心信息包括：世界走向多极化是历史必然，中国主张推动平等有序的世界多极化，并提出四点看法：倡导平等相待、尊重国际法治、践行多边主义、坚持开放共赢。关键数据：联合国成立时51个会员国，至今193个国家；中国承担超过**20%**的联合国会费；去年中国GDP增长**5%**，对世界经济增长贡献率接近**30%**；中国加入几乎所有普遍性政府间国际组织和**600多项**国际公约；中国建成世界上最大的清洁发电体系。王毅强调中国是现行国际秩序的受益者和维护者，愿提供公共产品，包括全球发展倡议、全球安全倡议、全球文明倡议。
# 官方表态
关于国际秩序与规则：王毅回应称中国是现行国际秩序的受益者，主张维护以联合国为核心的国际体系，遵守联合国宪章宗旨和原则，反对双重标准，推动秩序朝着更加公正合理的方向发展。关于乌克兰危机：王毅表示中国从俄罗斯购买油气是正常贸易，满足民众需求，不可能不买；中国主张通过对话政治解决，提出四点主张，派特使斡旋，发起和平之友，乐见一切致力于和平的努力。关于中美关系：王毅表示中国对美政策保持连续性和稳定性，遵循相互尊重、和平共处、合作共赢三原则，愿构建稳定健康可持续的双边关系，但若美方打压遏制，中方将奉陪到底。
# Q&amp;A环节
问：中国是否遵守国际法和联合国宪章？是否支持联合国改革？答：王毅表示中国是现行国际秩序的受益者，主张维护以联合国为核心的国际体系，遵守联合国宪章宗旨和原则，反对双重标准，愿推动秩序朝着更加公正合理的方向发展。问：中国能否减少从俄罗斯购买油气以施压俄罗斯结束战争？答：王毅表示中国从俄罗斯购买油气是正常贸易，满足民众需求，不可能不买；中国主张通过对话政治解决乌克兰危机，提出四点主张，派特使斡旋，发起和平之友，乐见一切致力于和平的努力。问：中美关系将如何发展？答：王毅表示中国对美政策保持连续性和稳定性，遵循相互尊重、和平共处、合作共赢三原则，愿构建稳定健康可持续的双边关系，但若美方打压遏制，中方将奉陪到底。</t>
        </is>
      </c>
      <c r="D2" s="11" t="n">
        <v>29.3</v>
      </c>
      <c r="E2" t="inlineStr">
        <is>
          <t>7004/1085</t>
        </is>
      </c>
    </row>
    <row r="3" ht="13.5" customHeight="1" s="10">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s="4" t="inlineStr">
        <is>
          <t># 沟通背景与目的
本次宣讲会由电子科学与工程学院主办，面向考生和家长介绍学院整体情况及专业方向。学院历史可追溯至1956年建校时的无线电系，历经4次院系调整，2023年成立电子科学与工程学院与集成电路学院；电子科学与技术为国家重点一级学科，下设5个二级学科方向及3个国防特色学科。学院现有本科生1545人、研究生1975人，教师302人（含两院院士2人、领军人才19人、青年人才28人），近5年科研经费稳定在3-4亿元，牵头获国家科技奖励11项，发表高水平论文2000余篇，拥有两个国家级平台。各专业方向负责人分别介绍了学科情况：电子信息材料与元器件方向以材料为基础、器件为核心、应用为目标，指出中国2021年集成电路进口额达2.8万亿元（约为原有进口量的1.7倍），先进电子材料元器件是卡脖子问题，研究团队包括邓龙江院士团队（19人）和张怀武教授团队（17人），依托两个国家级平台，科研面积2万余平米，拥有大型设备500余台套，毕业生去向包括英特尔、中芯国际、华为等；电磁场与微波技术学科始于1956年，由林卫干和谢楚芳创建，所属一级学科入选双一流A类，介绍了杨世文、樊勇、李恩、延波等教授团队的研究成果（如四维天线阵列、毫米波平面集成天线、太赫兹雷达成像等），电路与系统学科1981年开始招收研究生，拥有国家级人才4人，连续三年获全国大学生集成电路创新创业大赛奖项；物理电子学是物理学与电子科学技术交叉学科，起源于1956年电子控器件专业，1979年成立高能电子学研究所，2018年并入电子科学与工程学院，团队共9个，每年科研经费接近2亿元，是国际最大真空器件研究中心。博士生田雨桐从学生视角分享了选择电子学院的8个理由，包括成都的产业优势、学校电子信息学科群、电子科学与技术学科评估A+、研究团队实力、奖助体系等，建议学生先选团队再选导师，利用文献检索网站了解导师情况。关于夏令营，段院回应今年计划举办，时间待定，相关信息将通过QQ群发布（群号978499108）。
# 信息同步
**学院整体情况（段院）**：学院历史沿革，1956年建校成立无线电系，历经4次院系调整，2023年成立电子科学与工程学院与集成电路学院。电子科学与技术为国家重点一级学科，下设5个二级学科方向（电磁场与微波技术、电路与系统、微电子学与固体电子学、物理电子学、电磁信息功能材料与机构）及3个国防特色学科（电磁场与微波军用关键材料、电子元器件）。本科生1545人，研究生1975人。教师302人，其中两院院士2人、领军人才19人、青年人才28人。近5年科研经费稳定在3-4亿元，牵头获国家科技奖励11项，发表高水平论文2000余篇，专利申请1600余件、授权1300余件。拥有两个国家级平台（国家电子辐射控制材料工程技术研究中心、微波电子工器件国家级重点实验室）。
**电子信息材料与元器件方向（柳教授）**：该方向以材料为基础、器件为核心、应用为目标，涉及电子材料与器件设计研制。指出中国是电子产品生产大国但非强国，2021年集成电路进口额达2.8万亿元（约为原有进口量的1.7倍），先进电子材料元器件是卡脖子问题。研究团队包括邓龙江院士团队（19人，正高13人、副高15人）和张怀武教授团队（17人，正高15人、副高2人），依托两个国家级平台（国家电磁辐射控制材料工程技术研究中心、电磁薄膜与集成器件全国重点实验室），科研面积2万余平米，拥有大型设备500余台套。毕业生去向包括英特尔、中芯国际、华为、德州仪器等。
**电磁场与微波技术和电路与系统方向（张教授）**：电磁场与微波技术包含4个细分方向（微波毫米波电路、电波传播与电磁兼容、计算电磁学与工程电子学、天线理论与技术），电路与系统包含3个方向（非线性电路与复杂电子系统、射频微波电路与系统、集成电路与系统）。电磁场与微波技术学科始于1956年，由林卫干和谢楚芳创建，所属一级学科入选双一流A类。介绍杨世文、樊勇、李恩、延波等教授团队的研究成果，包括四维天线阵列、毫米波平面集成天线、太赫兹雷达成像（0.22THz、0.34THz、0.42THz，分辨率小于1厘米）等。电路与系统学科1981年开始招收研究生，拥有国家级人才4人。人才培养方面连续三年获全国大学生集成电路创新创业大赛奖项。
**物理电子学方向（李天明教授）**：物理电子学是物理学与电子科学技术交叉学科，典型应用包括微波电子学、光电子学。学校物理电子学起源于1956年电子控器件专业，1979年成立高能电子学研究所，2018年并入电子科学与工程学院。经过近70年发展，内涵不断扩展，纵向发展包括仿真设计、人工智能引入，横向发展包括频段上移和学科交叉。团队共9个，每年科研经费接近2亿元，是国际最大真空器件研究中心。
**学生视角分享（博士生田雨桐）**：分享选择电子学院的8个理由，包括成都的产业优势、学校电子信息学科群、电子科学与技术学科评估A+、研究团队实力、奖助体系等。建议学生先选团队再选导师，利用文献检索网站了解导师情况。
# 达成共识
各方确认的信息与共识：学院计划今年举办夏令营，时间待定，相关信息将通过QQ群发布（群号978499108）。段院承诺：**感兴趣的同学可加入QQ群，相关信息届时会及时发布**。
# 待协调事项
**夏令营时间与形式**：事项描述：夏令营的具体时间和形式待定，需学院确定后发布。对接人：无。负责人：段院。预计完成时间或后续沟通计划：时间待定，相关信息将通过QQ群（978499108）发布。</t>
        </is>
      </c>
      <c r="D3" s="11" t="n">
        <v>58.8</v>
      </c>
      <c r="E3" t="inlineStr">
        <is>
          <t>13887/2282</t>
        </is>
      </c>
    </row>
    <row r="4" ht="13.5" customHeight="1" s="10">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s="4" t="inlineStr">
        <is>
          <t># 年终总结与表彰大会
年终总结与表彰大会
会议要点：公司召开年终总结会，老板公布年度经营数据：年终奖总额226,000元，成本控制差，支出390万，利润率24%或27%，最高工资20万，平均工资1万多，2023年总量提升但结余缩水，有百来万未收回。年终奖发放标准为：入职不满半年发红包约1000元，满一年以一个月基本工资为基准，超过一年考虑年度表现，个人数额不公布。；老板逐一点评员工，肯定优点并提出期待，短视频部门满意，期待变现；执行部门认可辛苦，期待老板更多组织协调；商务部门基本达标，实打实项目约300万，期待更多支持。；颁发最佳新人奖给红叶子和张扬，最佳进步奖给欧阳小元，后期独当一面奖给刘腾宇，最佳员工奖给游腾宇，特别贡献奖给李海腾，随后抽奖结束。
关键决策：年终奖总额226,000元，个人数额不公布。；年终奖发放标准：入职不满半年发红包约1000元，满一年以一个月基本工资为基准，超过一年考虑年度表现。；颁发最佳新人奖给红叶子和张扬，最佳进步奖给欧阳小元，后期独当一面奖给刘腾宇，最佳员工奖给游腾宇，特别贡献奖给李海腾。；抽奖奖品包括一等奖、二等奖、三等奖等，现场发放。
风险与阻塞：成本控制非常差，利润率低。；公司结余缩水，有百来万未收回。；加班严重，人员不足。；外援成本高，内部人员参与拍摄不足。
未决问题：明年成本控制问题待开会讨论。；明年年终奖额度待定。；账号变现的具体计划未明确。
（生成可能有误）</t>
        </is>
      </c>
      <c r="D4" s="11" t="n">
        <v>54.8</v>
      </c>
      <c r="E4" t="inlineStr">
        <is>
          <t>24562/612</t>
        </is>
      </c>
    </row>
    <row r="5" ht="13.5" customHeight="1" s="10">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s="4" t="inlineStr">
        <is>
          <t># 全文摘要
本次会议为小区业委会与物业就长期服务问题（门柱灯、水系、监控、绿化、围墙、雨水倒灌、物业人员配备不足等）进行协调的专项讨论会。业委会列举了小区存在的11项问题，要求召开业主大会表决是否更换物业；物业方逐条回应，称部分属地产责任、费用不足或红线外问题，双方未达成一致。物业方宣布已与高级人民法院、滨城区人民法院沟通，将于本月起诉业委会，并称诉讼期间业主大会无法召开；业委会表示将反诉，并计划集体起诉物业要求返还部分物业费。双方就物业费欠费与服务顺序争执不下，会议未达成实质和解。
## 业主大会召开与物业去留
- 业委会成员提出小区存在11项问题，要求召开业主大会表决是否更换物业；物业方表示已与集团法务沟通，将于本月起诉业委会，并称诉讼期间业主大会无法召开；双方就物业费欠费、服务缺失等问题激烈争论，未达成一致。
- 业委会成员列举了门柱灯不亮、水系从未开启、监控损坏、监控室无人值班、绿化死亡、北围墙缺失、民生配套未解决、雨水倒灌、物业人员配备不足等10条问题；物业方逐条回应，称部分属地产责任、费用不足或红线外问题。
## 物业费欠费与法律诉讼
- 物业方称业主欠费170多万，公司连年亏损，人工成本超100万，无力承担维修费用；业委会认为物业服务不应以先收费为前提，双方就缴费与服务顺序争执不下。物业方宣布已与高级人民法院、滨城区人民法院沟通，将于本月起诉业委会；业委会表示将反诉，并计划集体起诉物业要求返还部分物业费。</t>
        </is>
      </c>
      <c r="D5" s="11" t="n">
        <v>47.9</v>
      </c>
      <c r="E5" t="inlineStr">
        <is>
          <t>21511/620</t>
        </is>
      </c>
    </row>
    <row r="6" ht="13.5" customHeight="1" s="10">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s="4" t="inlineStr">
        <is>
          <t># 具身智能圆桌论坛：技术路线与数据策略探讨
具身智能圆桌论坛：技术路线与数据策略探讨
会议要点：本次圆桌论坛围绕具身智能领域的关键技术问题展开，重点讨论了大模型与硬件协同、世界模型定义、强化学习与模仿学习路线、数据采集与仿真等议题。关于大模型是否端到端，王岳认为不应从上到下完全贯通，硬件变化会导致重新训练，应分层；薛寒提出硬件需高寿命、高可靠性以支持大规模真机评估；穆老师强调软硬件协同优化。关于世界模型，赵浩从CV角度强调3D、物理规律、可交互，志龙从RL角度认为可交互是首要，王岳提出世界模型可能无法统一，存在歧义问题，policy可能统一，薛寒认为CV世界模型对强化任务不必要。；关于强化学习与模仿学习，业界嘉宾介绍其公司采用模型强化加机理融合的方式，薛寒认为复杂任务应先模仿后强化，单独模仿或强化都不行，王岳认为PID反馈可作为reward，静波认为两者不冲突，可获取运动先验。关于数据采集与仿真，杨立新强调视角和标定对数据质量的影响，薛寒认为真机数据是低成本方案，可穿戴设备是终极形态，穆老师认为仿真数据可弥补真机数据不足，赵浩提出加入无标注真实数据。赵浩还提到梦想写一篇关于data bias trade off的论文，并认为2025年应推广大规模利用无标注数据。
未决问题：具身智能大模型是否应端到端？；世界模型是否需要3D inductive bias？；强化学习与模仿学习最终路线如何？；仿真数据与真实数据比例如何？
（生成可能有误）</t>
        </is>
      </c>
      <c r="D6" s="11" t="n">
        <v>39.7</v>
      </c>
      <c r="E6" t="inlineStr">
        <is>
          <t>21458/628</t>
        </is>
      </c>
    </row>
    <row r="7" ht="13.5" customHeight="1" s="10">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s="4" t="inlineStr">
        <is>
          <t># 庭审概况
本案系上诉人国家开发银行与被上诉人云南东源电力股份有限公司、云南东源曲靖电力有限公司、招银金融租赁有限公司金融借款合同纠纷一案，国家开发银行不服云南省高级人民法院（2018）云民初88号民事判决，向本院提起上诉。本院依法组成合议庭，由审判员李少平担任审判长，与审判员魏文超、黄年、王海峰、葛洪涛组成合议庭，法官助理张瑞，于2019年公开开庭审理。庭审围绕三个争议焦点展开：国开行抵押权是否构成善意取得、罚息复利计算及起算日期、违约金承担。经合议庭组织调解，各方当事人自愿达成调解协议，法院予以确认并出具调解书。
# 原告诉称与被告辩称
各方当事人对调解方案均无异议，同意签署调解协议。确定国开行对东源煤电的债权扣除破产中已清偿本金外，利息、罚息、复利合计6474.4513万元。确定招银租赁对涉案6项设备享有所有权，国开行对93项设备有抵押权。招银租赁和国开行对案涉全部发电设备整体盘活处置，变现价款双方各得50%，实现费用各担50%。本案调解书生效后20日内，由国开行向一审法院提出执行申请，启动司法处置程序。若司法变现不能，国开行和招银租赁权益通过前述方法实现后均放弃对案涉设备权益，由东源曲靖电力自主生产经营。案涉设备上的管理费用由东源曲靖电力承担，东源曲靖电力无条件配合司法处置。一审诉讼费用中对于国开行诉请部分按一审判决执行，对于招银租赁诉请部分由二审法院按规定计算后由国开行承担。二审诉讼费用由法院依法确定后，由国开行和东源煤电各承担50%。本协议签订后，各方之间就本案涉及的问题不再存在任何争议。
| 方 | 诉讼请求/答辩意见 | 事实与理由 |
| --- | --- | --- |
| 上诉人（原审原告） | 请求撤销一审判决，改判支持其抵押权、罚息复利及违约金主张 | 已按央行规定查询融资租赁登记系统，未发现曲靖电力公司设备有融资租赁登记；设备为通用设备无唯一标识码，审查义务仅限于抵押人曲靖电力公司，构成善意取得；利息计算至2018年6月12日，罚息自2018年6月13日起算，复利自2018年3月21日起算；东源煤电、东源煤业违约，应支付违约金，依据合同第24条第3项 |
| 被上诉人（原审被告） | 请求驳回上诉，维持原判 | 2015年12月2日邮件已告知设备情况，且用红色标注，国开行应尽注意义务；国开行宣布贷款提前到期未给合理期限，罚息不应计收复利，复利不应再计复利；国开行未举证证明违约，且未按合同约定先行限期纠正 |
# 举证与法庭调查
本案系国家开发银行与东源煤电、东源煤业、曲靖电力、招银租赁金融借款合同纠纷二审，围绕三个争议焦点展开：国开行抵押权是否善意取得、罚息复利计算、违约金承担。经调解，各方达成一致，确认债权数额及设备处置方案。国开行主张已按央行规定查询融资租赁登记系统，未发现曲靖电力公司设备有融资租赁登记，且设备为通用设备无唯一标识码，审查义务仅限于抵押人曲靖电力公司，构成善意取得。东源煤电反驳称2015年12月2日邮件已告知设备情况，且用红色标注，国开行应尽注意义务。招银租赁认为国开行未在抵押时点查询，不构成善意，且东源煤电出资行为系无权处分。合议庭询问融资租赁登记性质、查询方式、举证责任等，各方意见不一。国开行主张利息计算至2018年6月12日，罚息自2018年6月13日起算，复利自2018年3月21日起算，并给出具体金额。东源煤电认为国开行宣布贷款提前到期未给合理期限，且罚息不应计收复利，复利不应再计复利。招银租赁表示非合同当事人，尊重合议庭审查。国开行主张东源煤电、东源煤业违约，应支付违约金，依据合同第24条第3项。东源煤电反驳称国开行未举证证明违约，且未按合同约定先行限期纠正。招银租赁表示非合同当事人，尊重合议庭审查。
# 庭审结果
本案经调解，各方当事人自愿达成调解协议，法院予以确认并出具调解书。调解方案主要内容：确定国开行对东源煤电的债权扣除破产中已清偿本金外，利息、罚息、复利合计6474.4513万元；确定招银租赁对涉案6项设备享有所有权，国开行对93项设备有抵押权；招银租赁和国开行对案涉全部发电设备整体盘活处置，变现价款双方各得50%，实现费用各担50%；本案调解书生效后20日内，由国开行向一审法院提出执行申请，启动司法处置程序；若司法变现不能，国开行和招银租赁权益通过前述方法实现后均放弃对案涉设备权益，由东源曲靖电力自主生产经营；案涉设备上的管理费用由东源曲靖电力承担，东源曲靖电力无条件配合司法处置；一审诉讼费用中对于国开行诉请部分按一审判决执行，对于招银租赁诉请部分由二审法院按规定计算后由国开行承担；二审诉讼费用由法院依法确定后，由国开行和东源煤电各承担50%；本协议签订后，各方之间就本案涉及的问题不再存在任何争议。</t>
        </is>
      </c>
      <c r="D7" s="11" t="n">
        <v>51</v>
      </c>
      <c r="E7" t="inlineStr">
        <is>
          <t>28485/1976</t>
        </is>
      </c>
    </row>
    <row r="8" ht="13.5" customHeight="1" s="10">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s="4" t="inlineStr">
        <is>
          <t># 项目概况
原占比二玉米面加工厂项目中期验收会议于近期召开，验收组已完成卢萨卡点除带料调试外的所有验收工作，蒙泽点已全部完成并顺带完成带料调试流程试生产，姆皮卡点内业资料已提前拿到卢萨卡，现场验收尚未开展。内业检查涵盖人员履约、程序性文件、过程性检查文件等，基本满足规范要求，但存在人员统计不完整、特种人员证件有效期问题、资料分类整理和签字规范性需完善。外业检查分建筑、安装、设备三部分：建筑部分整体品质良好，但存在局部损伤、排水需清理、混凝土路面开裂等问题；安装部分结构无问题，但监控管线接头脱落；设备部分运行正常，产能符合设计指标。验收组提出人员履约、内业资料、现场整改等要求，管理组田组长表示会后与技术组细化检查并制定方案处理，技术组龚总汇报三点整改计划。合作局领导强调资料补充沟通、路面开裂原因分析及整改闭环、成品保护；公司林总强调按合同标准仔细验收、提醒当地用户建议、注意交通安全和防疫。验收组发现项目有动用不可预见费情况，需完善依据证据和数据，后续将专门对接。
# 进度追踪
验收工作总体进展：卢萨卡点除带料调试外所有验收工作已完成，蒙泽点已全部完成并顺带完成带料调试流程试生产，姆皮卡点内业资料已提前拿到卢萨卡，现场验收尚未开展。内业检查：人员履约、程序性文件、过程性检查文件基本满足规范要求，但存在人员统计不完整、特种人员证件有效期问题、资料分类整理和签字规范性需完善。外业检查：建筑部分整体品质良好，但存在局部损伤、排水需清理、混凝土路面开裂等问题；安装部分结构无问题，但监控管线接头脱落；设备部分运行正常，产能符合设计指标。
| 模块 | 进展 | 状态 |
| --- | --- | --- |
| 验收工作总体进展 | 卢萨卡点除带料调试外所有验收工作已完成，蒙泽点已全部完成并顺带完成带料调试流程试生产，姆皮卡点内业资料已提前拿到卢萨卡，现场验收尚未开展 | 🔄进行中 |
| 内业检查 | 人员履约、程序性文件、过程性检查文件基本满足规范要求，但存在人员统计不完整、特种人员证件有效期问题、资料分类整理和签字规范性需完善 | 🔄进行中 |
| 外业检查-建筑 | 整体品质良好，但存在局部损伤、排水需清理、混凝土路面开裂等问题 | 🔄进行中 |
| 外业检查-安装 | 结构无问题，但监控管线接头脱落 | 🔄进行中 |
| 外业检查-设备 | 运行正常，产能符合设计指标 | ✅已完成 |
# 风险预警
混凝土路面开裂可能影响项目移交后使用，存在大面积开裂隐患，等级中，责任人为管理组和总包单位，应对计划为分析原因并制定科学合理的整改方案，在出报告前完成整改并形成闭环。监控管线接头脱落可能引起机械故障，等级低，责任人为施工组，应对计划为全面检查并保证有效性和安全性。雨季来临，厂区排水可能阻塞，需清理排查，等级低，责任人为施工方，应对计划为做最后的清理和排查工作。姆皮卡点路途遥远，路况不好，存在交通安全风险，等级中，责任人为验收组，应对计划为注意交通安全和防疫。疫情及雨季可能影响验收工作，等级中，责任人为验收组，应对计划为做好防控并合理安排行程。
| 风险/瓶颈 | 等级 | 影响 | 责任人 | 应对计划 |
| --- | --- | --- | --- | --- |
| 混凝土路面开裂 | 中 | 可能影响项目移交后使用，存在大面积开裂隐患 | 管理组和总包单位 | 分析原因并制定科学合理的整改方案，在出报告前完成整改并形成闭环 |
| 监控管线接头脱落 | 低 | 可能引起机械故障 | 施工组 | 全面检查并保证有效性和安全性 |
| 雨季排水阻塞 | 低 | 厂区排水可能阻塞，需清理排查 | 施工方 | 做最后的清理和排查工作 |
| 姆皮卡点交通安全 | 中 | 路途遥远，路况不好，存在交通安全风险 | 验收组 | 注意交通安全和防疫 |
| 疫情及雨季影响 | 中 | 可能影响验收工作 | 验收组 | 做好防控并合理安排行程 |
# 后续计划
下一周期核心交付物包括：**完成姆皮卡点现场验收**，**完成三个厂区资料汇总至卢萨卡并分类组卷编码**，**完成现场实体整改并形成闭环**。验收标准为满足项目合同及援外项目执行手册管理办法规定，验收组复核确认。关键时间节点为路面开裂问题在出报告前完成整改，验收组复核；资料汇总在验收完成后第一时间完成。存在依赖前提或外部假设的计划：*姆皮卡点现场验收依赖交通和天气条件，需注意安全*；*不可预见费使用依据证据和数据需完善，待专门对接*。</t>
        </is>
      </c>
      <c r="D8" s="11" t="n">
        <v>54.1</v>
      </c>
      <c r="E8" t="inlineStr">
        <is>
          <t>11110/1880</t>
        </is>
      </c>
    </row>
    <row r="9" ht="13.5" customHeight="1" s="10">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s="4" t="inlineStr">
        <is>
          <t># 发布会概况
本次中金宏观策略周会由中金公司策略组主办，策略分析师刘刚凯文主持，围绕大美丽法案、关税更新、港股流动性、光伏反内卷、人形机器人及游戏板块等热点议题展开。会议核心信息包括：大美丽法案提高债务上限5万亿美元、延长减税并取消899条款，对美股美债中长期有利但三季度存在流动性波折；关税大概率作为谈判技巧，有效税率维持10-12%水平；港股流动性边际收紧但基本面可盖过影响；光伏反内卷政策升级，硅料整合最迫切；人形机器人三季度关注华为云生态、本土企业技术闭环及特斯拉硬件替代三条主线；游戏板块在政策、消费、新品周期三重利好下有望实现戴维斯双击。整体基调偏积极，建议投资者在合适位置布局长期正确板块。
# 核心信息
大美丽法案三大块：提高债务上限5万亿美元，延长2017年减税法案（新增支出3.4万亿美元，年3400亿），取消899条款。财政赤字率维持5-6%，关税收入可覆盖支出。三季度7-9月美债供给约1万亿美元，可能推高利率但幅度或不及2023年。关税有效税率测算10-12%，极端18%，通胀年底3.3-3.4%，关注8月1日和其他市场谈判、8月12日中美谈判及转口限制（越南40%）。港股流动性三季度不如二季度，港币7.85，IPO融资多。光伏行业2020-2024年装机CAGR 42%，2025-26年增速回落至10%左右，产能过剩：电池1.5倍、硅片组件2倍、硅料2.5倍，价格下跌70-90%。反内卷政策：6月29日人民日报发声、7月1日中财委会议、7月3日工信部座谈会。多晶硅期货价格反弹至40元/公斤，硅片涨10%，电池涨2分。人形机器人二季度板块跌9%，跑输机械12个百分点，特斯拉标签股回调30-40%，智元收购上市、宇树年收入破10亿、两家中标中国移动1.2亿订单。游戏板块6月版号单月158个创新高，1-5月市场规模同比增长17%，手游增长20%，吉比特仗剑传说首月流水2亿多，巨人网络超自然行动组年化20亿流水，估值TTM PE 30倍、2025年静态PE 20倍。
# 官方表态
刘刚凯文对大美丽法案表态：提高债务上限消除违约风险，延长减税避免大幅加税，取消899条款维护美元体系根基，认为信用周期改善，财政赤字率不会大幅增加，三季度流动性有波折但波动提供再配置机会，对美股美债不悲观。对关税表态：关税一定会做，需维持一定税率（10-12%有效税率），不能太高，市场逐渐脱敏，大概率是谈判技巧，对通胀影响有限，美联储仍可降息。对港股流动性表态：三季度不如二季度，但基本面强可盖过影响，建议在合适位置拿长期正确板块。刘佳妮对光伏反内卷表态：政策力度升级，价格恶性竞争有望告一段落，行业底部夯实，硅料整合最迫切，头部一体化组件企业穿越周期能力强。郭文秀对人形机器人表态：三季度是迷茫期到商业兑现的过渡阶段，关注华为云生态接入、头部企业出货量跨越500/1000台、电机硬件优化三类信号。张雪琴对游戏板块表态：在消费、政策、新品周期三重利好下，调整后有望实现戴维斯双击，当前是配置时间点。
# Q&amp;A环节
问：大美丽法案对美股美债和美元流动性有何影响？答：刘刚凯文指出，法案提高债务上限、延长减税、取消899条款，对中长期信用周期有利，但三季度7-9月有流动性抽水效应，美债供给约1万亿美元，可能推高利率但幅度或不及2023年，波动提供再配置机会，四季度美元可能小幅走强。问：关税升级市场为何反应冷静？答：刘刚凯文表示，关税大概率作为谈判技巧，有效税率维持10-12%水平，对通胀影响有限，市场逐渐脱敏，关注8月1日和其他市场谈判、8月12日中美谈判及转口限制。问：港股流动性前景如何？答：刘刚凯文指出，三季度流动性不如二季度，美元流动性供给压力、港币未完全回来、IPO融资多，但基本面强可盖过影响，建议在合适位置布局长期正确板块。问：光伏反内卷政策对行业有何影响？答：刘佳妮表示，政策升级强化，价格恶性竞争有望告一段落，行业底部夯实，硅料整合最迫切，组件价格跟涨需观望招标情况。问：人形机器人三季度有哪些投资主线？答：郭文秀指出，关注华为云生态开放、本土企业技术闭环、特斯拉延期带来的硬件替代窗口三条主线，建议关注物流场景、电机优化、轻量化方向。问：游戏板块调整后是否值得配置？答：张雪琴表示，在消费、政策、新品周期三重利好下，调整后有望实现戴维斯双击，当前是配置时间点。</t>
        </is>
      </c>
      <c r="D9" s="11" t="n">
        <v>69.09999999999999</v>
      </c>
      <c r="E9" t="inlineStr">
        <is>
          <t>22868/1807</t>
        </is>
      </c>
    </row>
    <row r="10" ht="13.5" customHeight="1" s="10">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s="4" t="inlineStr">
        <is>
          <t># 梦想主题班会：分享与讨论
梦想主题班会：分享与讨论
会议要点：本次班会以“梦想”为主题，老师先询问学生梦想，学生回答想当太空人、世界冠军、主角、歌手等。老师分享自己的梦想是成为受学生喜爱的有名望的优秀人民教师，并讲述个人经历：曾梦想考中国美术学院，单考通过但未就读，后入读广东技术师范大学（原民族学院），因离家远和家庭经济原因选择定向师范，毕业后回龙川教书。老师还分享大学期间的梦想：加入学生会、参加比赛、保持专业排名第一、考教师资格证等。；班会播放视频展示航模爱好者何宗发和普通歌手追梦的故事，引导学生讨论实现梦想的条件。老师总结条件包括坚持努力、天赋、勇敢、机会、兴趣、能力和学习，并强调不要嘲笑任何人的梦想，机会留给有准备的人。；老师展示自己的梦想之路，从读书到考大学历时11年，获得国家励志奖学金用一年，成为优秀人民教师待定。学生写下梦想清单，老师分享部分学生的梦想，如考试不犯糊涂、考上重本、成为画家、攒20万、成为创业者等。老师总结梦想可以分阶段制定，先小目标后大目标，量力而行，适时调整。
（生成可能有误）</t>
        </is>
      </c>
      <c r="D10" s="11" t="n">
        <v>39</v>
      </c>
      <c r="E10" t="inlineStr">
        <is>
          <t>9362/462</t>
        </is>
      </c>
    </row>
    <row r="11" ht="13.5" customHeight="1" s="10">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s="4" t="inlineStr">
        <is>
          <t># 全文摘要
会议围绕文化自信与中华民族现代文明建设展开，回顾了党的十八大以来文化体制改革成就，强调坚持把社会效益放在首位、社会效益和经济效益相统一。赵乐际于7月9日至13日对俄罗斯进行正式友好访问，会见普京，与马特维延科、沃洛金会谈，出席中俄议会合作委员会第九次会议，双方强调立法机构要深化多层级、多领域、多渠道交流合作，互学互鉴立法经验。今年夏粮产量达2996亿斤，比2023年增加72.5亿斤，单产375.2公斤/亩，小麦单产399.1公斤；6月国家铁路发送货物3.32亿吨，货运周转量2665亿吨公里，同比分别增长6.1%、5.3%；上半年快递业务量超800亿件；预计全年新增管道里程超4000公里，输气能力从2020年2230亿立方米增加到3290亿立方米。
## 文化自信与中华民族现代文明建设
- 习近平总书记强调文化自信，提出‘两个结合’，首次提出习近平文化思想。文化体制改革推进，实施《深化文化体制改革实施方案》和《关于实施中华优秀传统文化传承发展工程的意见》。文化领域供给侧结构性改革，文旅融合，非遗保护，公共文化服务体系建设。
- 坚持把社会效益放在首位，社会效益和经济效益相统一。
## 外交与多领域发展成就
- 赵乐际访俄并出席中俄议会合作委员会第九次会议，双方强调立法机构合作；夏粮产量创历史新高；6月铁路货运多项指标增长；上半年快递业务量超800亿件；油气管网建设提速；渝川皖等地应对降雨天气；国内联播快讯及国际新闻。</t>
        </is>
      </c>
      <c r="D11" s="11" t="n">
        <v>31.4</v>
      </c>
      <c r="E11" t="inlineStr">
        <is>
          <t>7755/624</t>
        </is>
      </c>
    </row>
    <row r="12" ht="13.5" customHeight="1" s="10">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s="4" t="inlineStr">
        <is>
          <t># 课程概况
本讲为初中物理光学复习课，系统复习光的直线传播、光速、光的反射定律、镜面反射与漫反射、平面镜成像及球面镜应用。光源分为自然光源（太阳、萤火虫）与人造光源（电灯等），光线是带箭头的直线，为物理模型；光在均匀介质中沿直线传播，实例包括三点一线、激光准直、小孔成像、日食月食、影子形成。光速在真空中为3×10^8米/秒，空气中略慢，水中为真空中的3/4，玻璃中为2/3。光的反射定律为三线共面、分居两侧、反射角等于入射角，法线为辅助线且垂直镜面，垂直入射时入射角为0度；作图步骤为先画法线，再按反射角等于入射角画光线。镜面反射发生在光滑表面，反射光线平行，可能造成反光问题；漫反射发生在凹凸不平表面，反射光线射向各个方向，生活中大多数反射为漫反射，如黑板、电影银幕，两者均遵守反射定律。平面镜成像原理是光的反射，成正立、等大的虚像；实验用玻璃板代替平面镜以确定像的位置，用刻度尺比较像与物到镜面的距离，用两段相同蜡烛比较大小；玻璃板有厚度会导致两个像，玻璃板不垂直会导致测量误差。凸面镜对光起发散作用，成缩小虚像，用于汽车后视镜、丁字路口镜；凹面镜对光起会聚作用，用于手电筒、太阳灶、耳鼻喉科检查；玻璃幕墙凹面可能造成光污染，烧死树木或引燃电线。
# 核心知识点梳理
**光源**：自身能够发光的物体，分为自然光源（太阳、萤火虫）与人造光源（电灯等）。**光线**：带箭头的直线，是物理模型，非真实存在。**光在均匀介质中沿直线传播**：实例包括三点一线、激光准直、小孔成像、日食月食、影子形成。小孔成像成倒立实像，放大缩小不一定，与孔形状无关。日食时月球在中间，月食时地球在中间。**光速**：真空中为3×10^8米/秒（每秒绕地球赤道7圈半），空气中略慢，水中为真空中的3/4，玻璃中为2/3。**光的反射定律**：三线共面、分居两侧、反射角等于入射角；法线为辅助线，垂直镜面，垂直入射时入射角为0度。作图步骤：先画法线，再按反射角等于入射角画光线。**镜面反射与漫反射**：镜面反射发生在光滑表面，反射光线平行；漫反射发生在凹凸不平表面，反射光线射向各个方向，两者均遵守反射定律。**平面镜成像**：成正立、等大的虚像，原理是光的反射；实验用玻璃板代替平面镜，用刻度尺比较距离，用两段相同蜡烛比较大小。**球面镜**：凸面镜发散，成缩小虚像，用于汽车后视镜、丁字路口镜；凹面镜会聚，用于手电筒、太阳灶、耳鼻喉科检查。⭐难点：日食月食的区域划分（日全食、日偏食、日环食；月全食、月偏食）。易混点：*小孔成像成倒立实像，平面镜成像成正立虚像*。
# 课堂互动与答疑
问：萤火虫算不算光源？答：算，它自身能发光。问：光线是真实存在的吗？答：不是，是物理模型。问：为什么光在均匀介质中沿直线传播，但穿过大气层会偏折？答：因为大气层不均匀，光发生偏折，所以太阳看起来像越出地平线，星星会眨眼睛。问：为什么小孔成像的像与孔形状无关？答：因为光沿直线传播，像的形状由物体决定。问：为什么平面镜成像实验中用玻璃板代替平面镜？答：因为玻璃板透明，便于确定像的位置。问：为什么玻璃板有厚度会看到两个像？答：因为玻璃板两个面都能发生反射成像。问：为什么垂直入射时入射角是0度而不是90度？答：因为入射角是入射光线与法线的夹角，垂直入射时夹角为0度。&gt; 教师提醒：光在均匀介质中沿直线传播，这句话要写全。
# 课后任务与学习建议
完成讲义练习第1至第6题（光的直线传播部分）、第7至第17题（光的反射定律、镜面反射与漫反射）、第18至第24题（平面镜成像、球面镜）。复习重点：光的直线传播实例、光的反射定律、平面镜成像特点及实验、镜面反射与漫反射的区别。建议：可在家用激光笔、硬纸壳、平面镜等做反射实验，用纸杯、针、蜡烛做小孔成像实验，用玻璃板、蜡烛做平面镜成像实验。</t>
        </is>
      </c>
      <c r="D12" s="11" t="n">
        <v>42.3</v>
      </c>
      <c r="E12" t="inlineStr">
        <is>
          <t>25691/1582</t>
        </is>
      </c>
    </row>
    <row r="13" ht="13.5" customHeight="1" s="10">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s="4" t="inlineStr">
        <is>
          <t># 电气工程基础课程：电力系统概念与发展史
电气工程基础课程：电力系统概念与发展史
会议要点：本课程为电气工程基础入门课，旨在使学生掌握电力系统发电、输电、配电、用电四个典型环节的构成、工作原理及整体关系，并掌握分析、设计、运行、管理的基础理论、技术与计算方法。前修课程要求电路理论和电机学知识，特别是变压器和同步电机；后续课程包括电力系统分析、电力系统继电保护、电力系统自动化和高电压技术。第一章概念最多最重要，学习内容包括基本概念、电力系统特点、要求、电能质量指标和接地方式；三个难点为电力系统特点引出的基本原理（如电能不能大量储存决定有功无功动态平衡）、额定电压规定、中性点接地方式；学习方法包括注意概念内涵外延、从原理推导、寻找额定电压规律、比较接地方式特点。；电力发展史从直流输电开始：福泰勒用2000米导线连接瓦斯发电机拖动直流电动机和水泵，证明直流输电可行；1874年俄国工程师建成4.5公里直流线路；1882年法国德普勒架设57公里直流试验线路，首端电压343伏、末端850伏，输送功率200瓦，损耗78%；1883年德普勒进行14公里输电试验，输送功率1.1千瓦，损耗55%。直流输电受电压等级限制，难以远距离大容量输电；交流输电因变压器升压降压优势逐渐占主导，1886年威斯汀豪斯在麻省进行交流输电示范，1898年发明绝缘子，电压等级逐步提高至110千伏、220千伏、380千伏、735千伏、765千伏、1150千伏。中国1941年投运220千伏，1972年330千伏，1981年500千伏，2009年1000千伏。直流输电在联网中重新受关注，1954年瑞典建成世界首个工业海底电缆直流工程，1972年加拿大投运首个晶闸管换流阀背靠背直流工程；中国首个直流工程连接舟山群岛与浙江定海，1989年葛上直流±500千伏，今年6月云广直流±800千伏投运。；电力系统由发电机、变压器、输电线路和用电设备组成，完成电能生产、输送、分配和消耗；电力网是去除发电机和用电设备的部分，动力系统则包含发电厂动力部分。电网按规模分为地方电力网（电压等级110千伏及以下，供电半径20-50公里）、区域电力网（110、220千伏及少量500千伏，供电半径超50公里）、超高压远距离输送网络（500千伏或1000千伏，跨省跨地区）。变电站按最高电压等级分类（如10千伏、220千伏、500千伏变电站），按主要功率流向分为升压变电站和降压变电站。
（生成可能有误）</t>
        </is>
      </c>
      <c r="D13" s="11" t="n">
        <v>62.3</v>
      </c>
      <c r="E13" t="inlineStr">
        <is>
          <t>11163/1030</t>
        </is>
      </c>
    </row>
    <row r="14" ht="13.5" customHeight="1" s="10">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s="4" t="inlineStr">
        <is>
          <t># 知识主题与概述
本笔记围绕调和级数收敛性的证明方法展开，源自皮卡在视频中对Stack Exchange上相关帖子的评论。皮卡首先介绍了级数收敛与发散的定义，随后逐一评论了网友的证明方法，包括分组求和、柯西凝聚判别法、积分估计、对数差分等，并指出某些证明是事后凑出来的，不自然。他批评了其中一种证明的故弄玄虚，认为其本质与更直观的方法相同。皮卡计划根据本期视频的反响决定是否继续该系列，若反响不错，将出下一期继续评论网友的数学问题解答。
# 核心概念
### 级数收敛与发散的定义
- **收敛**：对于正向级数，若存在固定实数 `a`，使得所有部分和 `s_n` 均小于 `a`，则级数收敛。
- **发散**：若部分和 `s_n` 大于某个无界递增的 `b_n`，即无论给定多大的数，总能通过增大 `n` 使 `b_n` 超过它，则级数发散。
### 调和级数
- 调和级数定义为 `1 + 1/2 + 1/3 + ... + 1/n`，其部分和记为 `h_n`。
- 调和级数是发散的，即部分和没有上界。
### 证明方法
- **分组求和**：将调和级数分组，每组和均大于 `1/2`，从而证明发散。
- **柯西凝聚判别法**：其证明思路与分组求和完全一致，通过分组估计部分和，适用于增长缓慢的序列。
- **积分估计**：利用积分曲线面积近似 `h_n`，通过放缩证明 `h_n &gt; log(n+1)`，从而说明发散。
- **对数差分**：利用 `e^x &gt; 1+x` 不等式，将 `e^{h_n}` 放缩为连乘积，最终得到 `n+1`，证明发散。
- **Stolz定理**：通过比较 `h_n` 与 `log n` 的差分极限，证明二者同阶，从而说明发散。
### 观点与批评
- 皮卡认为某些证明（如对数差分）是事后凑出来的，不自然，本质与更直观的方法相同。
- 他批评其中一种证明故弄玄虚，认为其本质是简单的分组求和思想，却用复杂形式呈现，妨碍理解。
# 核心结论
**核心结论**：调和级数是发散的，其部分和 `h_n` 无上界。
**易混淆点**：
- 收敛与发散的定义需明确：收敛要求所有部分和小于某个固定上界，发散则要求部分和无界。
- 柯西凝聚判别法与分组求和本质相同，但适用于更广泛的非负不增序列。
- 对数差分证明看似巧妙，但本质与积分估计或对数不等式相同，是事后凑出的结果。
**待澄清问题**：
- 皮卡提到“dialectic分解”思路，但未详细展开，留待后续视频。
- 后续视频是否继续取决于本期反响，尚未确定。</t>
        </is>
      </c>
      <c r="D14" s="11" t="n">
        <v>22.2</v>
      </c>
      <c r="E14" t="inlineStr">
        <is>
          <t>7465/1086</t>
        </is>
      </c>
    </row>
    <row r="15" ht="13.5" customHeight="1" s="10">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s="4" t="inlineStr">
        <is>
          <t># 知识主题与概述
本次会议为工作室视频录制，由老李介绍GitHub上的实用热门项目及访问技巧。老李首先介绍了多个热门项目，包括评估工作性价比的“b班值不值得上”、表情包博物馆、健康活到150岁指南、一键证件照、自重健身教练、免费PDF教材、全自动视频生成项目、声音克隆模型chat box TTS、AI学习资源库、awesome AI apps等。针对国内访问GitHub存在的网络不通、页面全英文、搜索功能不好用等问题，老李提供了解决方案：使用watch tool Kit加速软件、GitHub镜像站（如gh proxy）、浏览器翻译插件（谷歌翻译、沉浸式翻译）、汉化插件等。老李指出GitHub原生搜索功能不好用，分享了更丝滑的搜索方法，推荐使用AI工具（如ChatGPT）搜索项目，并介绍了项目页面的功能：star、watch、fork、about、release、read me文件、最近更新日期等，以及explore和trending查看热门项目。
# 核心概念
**GitHub热门项目**
- **工作性价比评估**：项目“b班值不值得上”可评估工作性价比，输入年薪、工作地区、年假、通勤时长、学历、工作年限、领导同事是否SB等因素，综合给出性价比分数和评级。
- **表情包博物馆**：收集国内过去几年全网爆火的表情包大合集，包括甄嬛传、罗翔、特朗普、马保国等主题。
- **健康活到150岁指南**：分享经科学研究的健康知识，如间歇性进食促进胆汁代谢、炎症自愈，吃天然发酵类食品改善肠道菌群生态。
- **一键证件照**：上传大头照即可一键抠图换背景，生成不同标准的证件照和打印模板。
- **自重健身教练**：选择肌肉群（如腹肌）后提供身体自重练习的参考动画，适合请不起真人教练的用户。
- **免费PDF教材**：收集国内所有小学、初中、高中及部分大学的PDF教材，全部免费。
- **全自动视频生成项目**：名为morning printer Turbo，近期超火。
- **声音克隆模型**：`chat box TTS`，零样本语音克隆，情感控制到位，克隆声音像真人说话。
- **AI学习资源库**：涵盖大语言模型、RAG、AI Agents、MSI等最新AI技术，作者整理成500多页PDF文档，含大量示意图。
- **awesome AI apps**：收录大模型最新的agent应用，如医学影像数据分析agent、AI投资agent、竞争对手情报分析agent等。
**GitHub访问问题及解决方案**
- **网络不通**：使用`watch tool Kit`加速软件，进入网站选择适合电脑的版本下载安装，打开后找到网络加速勾选GitHub加速即可流畅访问。
- **镜像站**：如`gh proxy`，浏览器点开直接访问GitHub，默认是镜像项目地址，也可搜索其他项目，但速度和稳定性较差。
- **魔法（VPN）**：个人最推荐的方法。
- **页面全英文**：安装浏览器翻译插件，谷歌浏览器推荐`谷歌翻译`或`沉浸式翻译`，可将网页翻译成中文；动手能力强的可安装汉化插件。
**GitHub搜索与项目页面使用**
- **原生搜索局限**：按搜索词精准匹配，如搜“screen record”和“screen recording”结果不同，导致不全面。
- **AI搜索**：推荐用ChatGPT等AI工具，用中文描述需求，AI可总结成表格，找齐热门项目。
- **项目页面功能**：`star`相当于收藏点赞，`watch`是关注项目，`fork`是复制项目到自己的账号；`about`是项目简介；`release`是软件安装包；`read me`文件是项目说明书，默认在项目最下面展开显示。
- **更新日期**：每个文件最近的`commit`日期可理解为最近更新时间，若更新日期是好几年前，大概率是没人维护的僵尸项目。
- **热门项目跟踪**：点开左侧`explore`，在`trending`里可看到全站当天、本周、本月最热门的项目；也可用ChatGPT找GitHub daily，及时分享最新热门项目。
# 核心结论
**核心结论**：
- GitHub是巨大的宝藏资源库，能找到名校公开课、大厂面试题、开源大模型、AI学习资料等正经资源，也有表情包、养生指南等不正经内容。
- 国内访问GitHub推荐使用`watch tool Kit`加速软件，镜像站速度和稳定性较差，个人最推荐用魔法（VPN）。
- GitHub原生搜索按精准匹配，结果不全面，推荐用AI工具（如ChatGPT）搜索项目。
- 通过`explore`和`trending`可跟踪最新热门项目。
**易混淆点**：
- `star`是收藏点赞，`watch`是关注，`fork`是复制项目，三者功能不同。
- `commit`日期是最近更新时间，不是创建时间。
- 镜像站可访问GitHub，但速度和稳定性不如加速软件。
**待澄清问题**：
- 未提及。</t>
        </is>
      </c>
      <c r="D15" s="11" t="n">
        <v>44.3</v>
      </c>
      <c r="E15" t="inlineStr">
        <is>
          <t>4014/2100</t>
        </is>
      </c>
    </row>
    <row r="16" ht="13.5" customHeight="1" s="10">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s="4" t="inlineStr">
        <is>
          <t># 《大奥》与明史：中日文化差异及明朝兴亡探讨
《大奥》与明史：中日文化差异及明朝兴亡探讨
会议要点：本期锵锵三人行围绕日剧《大奥》与《明朝那些事儿》展开，嘉宾马先生、当年明月及主持人共同探讨了日本文化中的极端精神、忠诚文化、中日文化差异，以及明朝历史的魅力、朱元璋评价、明朝兴亡经验与明式家具等话题。当年明月认为《大奥》吸引他的是其中体现的严谨精神，并指出日本文化与中国文化存在极大不同，中国文化精神是中庸，而日本文化讲究做到极致。马先生提到《大奥》是继《大长今》之后最有影响的外国电视剧，并指出日本战后用30年时间成为世界第二经济强国（绝对量），这是全民族极端精神的体现。；关于明朝历史，当年明月表示明史资料最多是其写作原因，并认为朱元璋从乞丐到皇帝，其天分与不易值得推崇。马先生补充说明朝历史跌宕起伏，如土木堡之变、夺门之变等，本身就像现代版电视剧。讨论还涉及明朝兴亡的经验教训，当年明月提出“我们从历史中得到的唯一教训就是我们从来没有从历史中得到过教训”，并指出明末市民生活轻松富足，江南工商业兴起，而李自成起义源于陕西大规模灾荒。；关于明式家具与皇帝评价，马先生认为明式家具在国际上地位高并非偶然，天启皇帝爱当木匠反映了当时社会对家具的重视。当年明月指出正德皇帝被嘉靖指派杨廷和编的《明武宗实录》写坏，其真实形象并非史料所载那么蠢，例如他从江南回来先在通州停留打探京城情况，显示其有城府。
（生成可能有误）</t>
        </is>
      </c>
      <c r="D16" s="11" t="n">
        <v>32.9</v>
      </c>
      <c r="E16" t="inlineStr">
        <is>
          <t>14719/608</t>
        </is>
      </c>
    </row>
    <row r="17" ht="13.5" customHeight="1" s="10">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s="4" t="inlineStr">
        <is>
          <t># 就诊概况
48岁男性患者张学恒，因上腹心窝处反复烧灼样疼痛4年、近3个月加重，就诊于消化专科。疼痛与进食冷硬食物、工作紧张劳累相关，刺激性食物可诱发，近3个月存在完全不痛时段；曾于一年前和三个月前两次出现黑便，均住院确诊为大便出血，住院两三天后大便转黄；近两个月呕吐数次，吐出黄水样酸味物，无呕血。既往有甲肝史（16岁，已愈）、磺胺药过敏史，家族中婶婶（无血缘关系）患胃癌。医生初步考虑消化道出血及胃部病变可能，建议留大便检查并预约后天胃镜，待向上级张医生汇报后商定治疗方案。
# 诊断与检查结果
本次就诊未进行胃镜及大便检查，医生根据病史初步判断需排查消化道出血及恶性病变可能。患者曾于一年前和三个月前两次黑便，住院检查均确诊为大便出血，住院两三天后大便转黄；近三个月无黑便，大便黄色正常。既往16岁患甲肝，在三医院住院一个月，出院时肝功能正常，此后体检肝功均正常；对磺胺药过敏（左手起红疹，持续半个月）。医生建议留大便样本检查出血，并预约后天行胃镜及活检。
# 治疗方案与医嘱
患者近期自行服药情况：最初服用某药（可能为“达喜”类）有效，后效果变差并加量至每日4-5次仍不佳；后加用国产奥美拉唑（武汉药厂）和阿莫西林，以及单位医务室自配胃炎合剂，效果短暂，停药后复发。医生建议戒烟、少饮酒，注意休息，避免劳累熬夜。**重点禁忌：磺胺药过敏，禁用磺胺类药物**。
| 药品名称 | 剂量 | 频次 | 用法 | 注意事项 |
| --- | --- | --- | --- | --- |
| 奥美拉唑（国产，武汉药厂） | 未明确 | 未明确 | 口服 | 效果短暂，停药后复发 |
| 阿莫西林 | 未明确 | 未明确 | 口服 | 与奥美拉唑联用 |
| 胃炎合剂（单位医务室自配） | 未明确 | 未明确 | 口服 | 效果短暂，停药后复发 |
# 复诊与预警信号
胃镜预约在后天进行，以便患者爱人陪同，胃镜活检后正好张大夫查房。医生将总结病情后向上级张医生汇报，再商定下一步处理意见。⚠️ 若再次出现黑便、呕血、剧烈腹痛等预警症状，需立即就医。</t>
        </is>
      </c>
      <c r="D17" s="11" t="n">
        <v>51.3</v>
      </c>
      <c r="E17" t="inlineStr">
        <is>
          <t>8519/884</t>
        </is>
      </c>
    </row>
    <row r="18" ht="13.5" customHeight="1" s="10">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s="4" t="inlineStr">
        <is>
          <t># 庭审概况
本案系上诉人国家开发银行与被上诉人云南东源电力股份有限公司、云南东源曲靖电力有限公司、招银金融租赁有限公司金融借款合同纠纷一案，因不服云南省高级人民法院云民初88号民事判决，向本院提起上诉。本院依法组成合议庭，依据《中华人民共和国民事诉讼法》第一百三十四条第一款、第一百六十九条的规定公开开庭审理。庭审围绕抵押权与融资租赁所有权冲突、罚息复利计算、违约金三个争议焦点展开法庭调查与辩论。合议庭休庭评议后提出调解方案，各方当事人均无异议并签署调解协议，本院予以确认并出具调解书。
# 原告诉称与被告辩称
各方主张对照如下：
| 方 | 诉讼请求/答辩意见 | 事实与理由 |
| --- | --- | --- |
| 原告（上诉人：国家开发银行） | 请求确认对案涉设备享有抵押权，主张罚息自2018年6月13日起算，复利按合同约定计算，东源煤电应支付违约金。 | 已按人民银行规定查询曲靖电力公司名下融资租赁登记信息，未发现登记；设备为通用设备无唯一标识，已尽合理审慎义务，构成善意取得；合同第六条第四款约定罚息计收复利；合同第24条第三项约定违约应支付千分之一违约金。 |
| 被告（被上诉人：云南东源电力、曲靖电力） | 主张国开行未履行告知义务，罚息不应计收复利，宣布贷款提前到期应给合理期限，违约金无合同依据。 | 2015年12月2日邮件已履行告知义务，抵押设备名称以红色标注；人民币利率管理规定第21条仅规定贷款期内利息计收复利；合同约定限期偿还而非立即偿还；国开行未举证违约行为且未履行限期纠正程序。 |
| 第三人（招银租赁） | 主张对案涉六项设备享有所有权，国开行不构成善意取得。 | 2012年已取得设备所有权，国开行2015年办理抵押时未查询融资租赁登记系统，不构成善意；东源煤电出资行为系无权处分。 |
# 举证与法庭调查
一、举证与质证情况。国开行提交证据包括：2015年12月2日邮件及附表、工商部门出资证明、设备权属证明、人民银行征信中心查询结果、2018年核查表（证据108页）等，用以证明已尽审查义务、构成善意取得抵押权。招银租赁提交证据包括：回租设备清单（证据7页）、2013年和2015年审计报告（证据82页、95页）等，用以证明其2012年已取得设备所有权、国开行未查询融资租赁登记系统不构成善意。东源公司提交2015年12月2日邮件及截屏，主张已履行告知义务。质证中，国开行认为邮件及统计表不能证明告知义务已履行，统计表中招银租赁抵押类型记载为不动产抵押，与融资租赁概念不同；招银租赁认为国开行2018年9月查询证书不符合2014年93号文要求，且抵押时点未进行查询；东源公司认为邮件发送时间（2015年12月2日）与抵押合同签订时间（2015年12月20日）吻合，且抵押设备名称以红色标注，国开行应尽注意义务。二、法庭询问要点。合议庭询问各方对中国人民银行征信中心融资租赁登记性质及法律后果的理解；询问国开行贷款前审查是否内部规定必须查询融资租赁系统并保留未查询结果单证；询问招银租赁融资租赁登记系统中设备唯一标识码是否必填项；询问国开行与招银租赁查询方式能否保证查询到登记结果；询问各方对因不同登记机构产生登记瑕疵的意见。三、双方辩论焦点。关于抵押权与所有权冲突，国开行主张已按人民银行规定查询曲靖电力公司名下融资租赁登记信息，未发现登记，且设备为通用设备无唯一标识，已尽合理审慎义务，构成善意取得；招银租赁主张国开行未在抵押时点查询融资租赁登记系统，不构成善意，且东源煤电出资行为系无权处分；东源公司主张已通过邮件履行告知义务。关于罚息复利计算，国开行主张罚息自2018年6月13日起算，复利按合同第六条第四款约定计算；东源公司主张罚息不应计收复利，且宣布贷款提前到期应给合理期限。关于违约金，国开行主张依合同第24条第三项约定，东源煤电未配合办理账户管理及柜台签约手续构成违约，应支付千分之一违约金；东源公司主张国开行未举证违约行为，且未履行限期纠正程序。
# 庭审结果
本案争议焦点为：一、国开行对案涉设备是否享有抵押权及是否构成善意取得；二、一审判决对案涉借款罚息、复息的计算是否正确；三、东源煤电、东源煤业是否应连带给付违约金。经合议庭评议并征求各方意见，提出调解方案：确定国开行对93项设备有抵押权，招银租赁对6项设备有所有权；招银租赁和国开行对案涉全部发电设备整体盘活处置，并从变现款中实现各自债权，变现价格双方各50%，实现费用双方各担50%；若司法变现不能，双方放弃对案涉设备权益，由东源曲靖电力自主生产经营；各方对一审判决第二项、第四项无争议，按判项内容在调解书中确认；一审诉讼费中国开行诉请部分按一审判决执行，招银租赁诉请部分由二审法院按规定确定，二审诉讼费由本院依法确定。各方对调解方案均无异议，签署调解协议，本院出具调解书。</t>
        </is>
      </c>
      <c r="D18" s="11" t="n">
        <v>44.6</v>
      </c>
      <c r="E18" t="inlineStr">
        <is>
          <t>30731/2011</t>
        </is>
      </c>
    </row>
    <row r="19" ht="13.5" customHeight="1" s="10">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s="4" t="inlineStr">
        <is>
          <t># 公务员面试：四题综合能力考察
公务员面试：四题综合能力考察
会议要点：本次面试围绕四道题目展开，考察考生的综合分析、计划组织、应急处理和公共服务能力。第一题要求考生从骏马、风筝、陀螺的绳子比喻中提炼对公务员工作的启示，考生分别联想到自我反省、权利与责任平衡、工作动力，并联系公务员实际工作展开论述。第二题模拟市政府办公室工作人员小王调研本市AI企业，考生提出前期准备（补课、学习兄弟城市经验、查阅上级文件）、制定方案、实施调研（企业对接、问卷、座谈会）及管理措施调研等步骤。第三题模拟答复记者关于管道问题的投诉，考生解释管道为90年代老城区建设、已联系维修并汇报上级，同时承认工作失职并请求媒体解释。第四题从公共服务角度分析道路改造矛盾，考生区分主要矛盾（时间）与次要矛盾（噪音、出行、舆论），提出加快工程、降噪降尘、建议便道、交通广播、宣传公交、公告沟通等措施。
（生成可能有误）</t>
        </is>
      </c>
      <c r="D19" s="11" t="n">
        <v>31</v>
      </c>
      <c r="E19" t="inlineStr">
        <is>
          <t>5808/393</t>
        </is>
      </c>
    </row>
    <row r="20" ht="13.5" customHeight="1" s="10">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s="4" t="inlineStr">
        <is>
          <t># 故宫保姆级游览攻略讲解
故宫保姆级游览攻略讲解
会议要点：本次讲解围绕故宫游览攻略展开，覆盖午门、太和门广场、太和殿、中和殿、保和殿、乾清门、乾清宫、交泰殿、坤宁宫、储秀宫、慈宁宫、寿康宫、断虹桥、武英殿、文华殿、箭亭、钟表馆、珍宝馆、九龙壁、宁寿宫、珍妃井、东筒子夹道、延禧宫、景仁宫、御花园、神武门等主要景点，并介绍各处的历史背景与看点。；讲解中介绍了故宫内七个免费盖章点：坤宁宫东北角文创店5枚、储秀宫旁文创店3枚、冰窖书吧3枚、珍宝馆出口商店3枚、角楼咖啡2枚、故宫文创2枚，以及保和殿东北角汉字馆4枚。；讲解最后总结三条游览路线：第一条适合全天游览，早起排队沿中轴线走完所有景点，约3万步；第二条半天路线，中轴线后看景仁宫、延禧宫、钟表馆、珍宝馆，御花园后神武门出；第三条最省力，约2小时，中轴线后看储秀宫、御花园，神武门出。
（生成可能有误）</t>
        </is>
      </c>
      <c r="D20" s="11" t="n">
        <v>35.4</v>
      </c>
      <c r="E20" t="inlineStr">
        <is>
          <t>4497/379</t>
        </is>
      </c>
    </row>
    <row r="21" ht="13.5" customHeight="1" s="10">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s="4" t="inlineStr">
        <is>
          <t># 访谈概况
本次访谈对象包括农村留守老人、村政府和民政局干部、城市社区养老社工等，访谈目的是了解农村留守老人养老现状、政策困境及城市社区养老服务经验。核心议题涵盖独居老人无人照料、就医困难、意外风险，农村养老政策实施情况，以及城市社区志愿者制度、养老服务中心和社工服务。整体反馈基调呈现农村养老资源不足、政策覆盖有限，城市社区服务相对完善但社工供给不足，受访者普遍表达对改善养老服务的期待。
# 核心反馈
农村留守老人核心痛点：**无人照料**，65.5%的老人子女长期不在身边，独居老人存在无人照料、就医困难、意外风险等问题；**精神孤独**，黑龙江绥滨独居老人因寂寞报警，杭州67岁独居老人去世多日才被发现；**经济困难**，农村养老金118元/月，与工人养老金差距大，五保户分散供养生活费475元/月，残疾人低保分160、270、380元三档；**就医不便**，视障老人反映就医障碍。城市社区老人痛点：**社交机会少**，更易产生孤独、抑郁情绪；**心理问题**，社工帮助过一位与邻里关系不和谐、抗拒外界关心的老人。对现有解决方案的不满：农村养老公共设施运营经费缺乏后续支持，地方财政困难；社工工资低、转行率高，专业能力欠缺，项目资金不稳定，服务成效难以持续。
# 关键洞察与建议
核心洞察：农村养老问题受多重因素叠加影响，包括子女外出务工、老人适应能力降低、城市对农村老人存在无形歧视；农村养老政策覆盖有限，五保户和残疾人保障标准较低，养老设施运营经费不足。建议：请专业施工人员进行陪伴，倡导在外务工子女多与老人联系，丰富老人文化生活，建立老年协会专项执行养老设施并保障持续运营经费；城市社区志愿者制度、一对一帮扶、积分兑换礼品、送春联、做月饼、百家宴等活动可借鉴，养老服务中心提供理疗、按摩、老年大学、心理咨询等服务；社工制度需解决供给不足、工资低、专业欠缺问题，政府应加大资金支持，保障项目持续性。受访者倾向性表达：老人需要关爱和陪伴，社区应成为大家庭，志愿者制度需长期坚持并发展新志愿者。</t>
        </is>
      </c>
      <c r="D21" s="11" t="n">
        <v>40.3</v>
      </c>
      <c r="E21" t="inlineStr">
        <is>
          <t>5309/854</t>
        </is>
      </c>
    </row>
    <row r="22" ht="13.5" customHeight="1" s="10">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s="4" t="inlineStr">
        <is>
          <t># 372班家长会：家校沟通与班级管理
372班家长会：家校沟通与班级管理
会议要点：本次家长会由班主任林瑞主持，介绍372班基本情况（共60人，男生25人，女生35人），指出学生处于青春期不稳定时期，班级优点为时间观念执行力强、班风良好，缺点为少数同学周末玩手机、自习课效率低。教师团队多为老教师和优秀教师，班主任林瑞教地理，联系方式将发在群里。；针对存在问题，提出加强思想教育、严格班规管理、定期与家长沟通、制定班规、严格请假制度等计划，并给出家长建议，包括关注孩子心理、合理期望、多鼓励少批评。强调安全教育（未满16周岁骑电动车危险、防溺水、防诈骗、防校园欺凌）和心理健康关注。；费用方面，说明水费险、书费预交11000元未结算、书箱退款等，强调不在微信群收取费用，由学生交生活委员，提醒防诈骗。成立家长委员会，至少三人自愿报名。保险购买哪一家尚未确定，电子学生证办理的具体方案待定。
关键决策：费用由学生交给生活委员，不在微信群转账。；要求收掉手机和镜子。；成立家长委员会，至少三人自愿报名。
全员执行要点：班主任林瑞介绍班级情况、存在问题及解决思路，要求家长配合收掉手机和镜子，并强调费用由学生交生活委员。；有家长分享家庭教育经验，强调尊重孩子、多倾听、配合学校。
风险与阻塞：少数同学周末玩手机、有网瘾。；个别学生书写差。；自习课效率低。；学生带镜子等违禁品。；学生看不良内容、谈恋爱。；未满16周岁骑电动车危险。；防溺水、防诈骗风险。；防校园欺凌风险。
未决问题：保险购买哪一家尚未确定。；电子学生证办理的具体方案待定。
（生成可能有误）</t>
        </is>
      </c>
      <c r="D22" s="11" t="n">
        <v>52.8</v>
      </c>
      <c r="E22" t="inlineStr">
        <is>
          <t>17334/676</t>
        </is>
      </c>
    </row>
    <row r="23" ht="13.5" customHeight="1" s="10">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s="4" t="inlineStr">
        <is>
          <t># 例会概况
本次会议为10月28日周会，主题为总结工作，等级为自愿级，会议资料包括工作报告、这班看法、这班型社区介绍，目标是初步统一成员意见，统一对社区的认识。会议讨论了教育网站建设，计划将算术分为多个部分，并希望将服务定价权交给消费者，转变为代购模式。会议指出工作方向可能偏了，需要考虑工作量，需完成两个活动，下周工作安排，需要政府报告，组建教育团队，确定路线，修订纲领章程。目前有四个任务，其中最大任务是组建执法队伍，下个月主要任务即为此，大运发放需要调试，任务分配需讨论，招聘20多位师傅。待遇方面，上班5000元，额外有奖励和提成，休假为周五半天加周末两天。会议决定下个月主要任务是组建执法队伍，学习介绍已经弄完。下一步将邀请同事加入，并讨论是否修改会议纲要，是否报上上等问题。
# 工作进展
### 工作进展
- **教育网站建设**：🔄 进行中，计划将算术分为多个部分，希望将服务定价权交给消费者，转变为代购模式。
- **学习介绍**：✅ 已完成，已将“我们是谁”提到最上面，并修改了参数。
- **任务分配**：🔄 进行中，目前有四个任务，包括课程开发，最大任务是组建执法队伍，下个月主要任务即为此。
- **执法队伍组建**：🔄 进行中，需招聘20多位师傅，第一步确定路线，修订纲领章程，修订303等。
- **大运发放**：🔄 进行中，需要调试。
- **待遇与休假**：🔄 进行中，上班5000元，额外有奖励和提成，休假为周五半天加周末两天。
- **下周工作安排**：🔄 进行中，需完成两个活动，需要政府报告，组建教育团队。
### 关键阻塞与风险
- **工作方向可能偏了**，需考虑工作量。
- **活动不是特别重要**，但需互相理解。
- **任务分配条件可能不同**，菜品条件可能不太一样。
- **服务时间与工具需要修改**，东西不太好，太奇怪。
# 协作需求
邀请同事加入，共同制作解决方案。学习介绍已弄完，下一步邀请同事加入。讨论是否修改会议纲要，是否报上上。</t>
        </is>
      </c>
      <c r="D23" s="11" t="n">
        <v>34.8</v>
      </c>
      <c r="E23" t="inlineStr">
        <is>
          <t>4999/855</t>
        </is>
      </c>
    </row>
    <row r="24" ht="13.5" customHeight="1" s="10">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s="4" t="inlineStr">
        <is>
          <t># 就诊概况
患者张春和，男，48岁，因反复上腹心窝处烧灼痛4年、近3个月加重，伴两次黑便及近两个月呕吐，就诊于消化内科。严医生接诊并采集病史，初步考虑消化道溃疡或出血可能，需进一步检查明确诊断。医生建议留大便做潜血检查，并预约后天行胃镜检查，待向上级张医生汇报后商定治疗方案。
# 诊断与检查结果
医生初步诊断考虑上消化道疾病可能，需排除消化道出血及恶性病变。关键检查安排：大便潜血检查（排查出血）、胃镜检查（预约后天）。既往史：16岁曾患甲肝（三医院住院一个月治愈），磺胺药过敏（左手红疹，持续半个月），双眼近视400度，偶发口腔溃疡。家族史：父亲低血压，母亲冠心病，婶婶（无血缘关系）患胃癌。
# 治疗方案与医嘱
患者既往用药：斯达舒（初有效后效果不佳，加量至每日四五次仍不佳）、奥美拉唑（武汉产）和阿莫西林、单位医务室胃炎合剂（有效但停药后复发）。治疗计划：留大便做潜血检查，后天行胃镜检查，待检查结果后由上级张医生商定治疗方案。生活注意事项：**戒烟限酒**，避免熬夜劳累，注意饮食（避免冷、硬、辛辣食物）。重点禁忌：**磺胺药过敏**，用药需避免。
| 药品名称 | 剂量 | 频次 | 用法 | 注意事项 |
| --- | --- | --- | --- | --- |
| 斯达舒 | 未明确 | 最初每日两次，每次1颗；后加至每日四五次 | 口服 | 初有效后效果不佳，加量后仍不佳 |
| 奥美拉唑（武汉产） | 未明确 | 未明确 | 口服 | 有效但停药后复发 |
| 阿莫西林 | 未明确 | 未明确 | 口服 | 与奥美拉唑同用 |
| 胃炎合剂（单位医务室配制） | 未明确 | 未明确 | 口服 | 有效但停药后复发 |
# 复诊与预警信号
复诊时间：后天行胃镜检查，胃镜后赶上张大夫查房，之后由严医生向上级张医生汇报病情，再商定治疗意见。预警信号：⚠️ 若再次出现黑便、呕血、剧烈腹痛、头晕乏力等症状，需立即就医。</t>
        </is>
      </c>
      <c r="D24" s="11" t="n">
        <v>47.9</v>
      </c>
      <c r="E24" t="inlineStr">
        <is>
          <t>10297/829</t>
        </is>
      </c>
    </row>
    <row r="25" ht="13.5" customHeight="1" s="10">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s="4" t="inlineStr">
        <is>
          <t># 讲座概况
本次讲座由基金经理肖楠主讲，面向机构投资者汇报其过去一年的研究布局、投资框架反思与认知升级，并回答投资者提问。肖楠首先指出投资者普遍关心的“What happen next”类问题因知识鸿沟而用处有限，并基于自身研究框架将问题分为重要不重要、可研究及难以研究四类，强调真正关心的是标的基本面变化、投资逻辑更新、认知深入及投资框架修正。他明确反对市场上“抱团”与“均值回归”两个流行观点，认为抱团定义不本质，均值回归仅是局部正确，长期看收益率呈幂律分布，投资核心在于寻找长线超级大牛股。随后他介绍过去一年在互联网、财富管理、新消费和高端制造四个方向的研究布局，并分享五点投资框架反思，包括商业模式分类的不完备性、从商增角度理解商业模式、长期变量对收益率的影响、深度价值可能长期无效（存疑）以及小企业X factor的重要性。最后，肖楠就投资者关于终局判断、伟大公司标准、全市场基金选股逻辑、血制品行业、农林牧渔行业、商增商减分析、增长曲线、财富管理行业及企业家精神等问题逐一作答。
# 核心观点与论证
讲座围绕“知识与信息的鸿沟”展开，肖楠指出投资者获得的仅是信息而非知识，知识更新会迅速改变判断，因此“What happen next”类答案对投资者用处不大。他基于自身研究框架将问题分为重要不重要、可研究及难以研究四类，强调关心标的基本面变化、投资逻辑更新、认知深入及投资框架修正。
肖楠明确反对“抱团”与“均值回归”两个流行观点。关于抱团，他认为该定义不本质，基金经理之间是竞争关系，主观上不可能抱团；同一公司买同一板块是研究员推荐被广泛认可的结果，而非合谋。关于均值回归，他指出其仅是局部正确，长期看收益率呈幂律分布，并以美国股市200年增量由4%公司贡献为例，强调投资核心是找到长线超级大牛股。
他介绍过去一年在互联网、财富管理、新消费和高端制造四个方向的研究布局。互联网产业是富矿，中国和美国能诞生巨大公司；财富管理行业空间巨大，因中国收入中位数提升将带来巨额剩余财富；新消费公司从CEO到组织架构完全不同于传统企业；高端制造中国在众多细分领域已占据主导地位，未来空间可见。
肖楠分享五点投资框架反思：第一，商业模式分类不完备，没有一劳永逸的坐地收钱生意，长期看所有企业都会死去；第二，从商增角度理解商业模式更本质，企业成长过程中需吸收熵增，商增过快会导致失败；第三，长期变量如国运、文化背景影响收益率，需保持谦卑但大胆思考；第四，深度价值可能长期无效（打问号），因深度价值只是结果，若导致原因不变，最好结果也只是不输；第五，小企业的X factor，即驱动企业增长且不被线性描述的因子，无法定价但必须承认存在，否则会陷入估值与基本面的两难。
# 金句总结
“知识和信息之间有着巨大的鸿沟。”——肖楠以此说明投资者获得的“看好某板块”等信息对其决策用处有限，因为知识更新会迅速改变判断。
“务实还是务虚，其实没有高下之分的。做好的都是大师，做不好都是东施效颦。”——他强调投资理念无好坏，关键在于执行。
“均值回归这个事情，90%的时间都正确，那10%的错误依然让你代价惨重。”——他以商学院老师在海螺水泥上做波段、最终错过两年五六倍涨幅为例，说明均值回归的局限性。
“收益率是幂律分布的，不是正态分布的。”——他以此强调投资核心是找到长线超级大牛股，美国股市200年增量由4%公司贡献。
“我们一定要对市场保持谦卑。”——他提醒投资者注意长期变量对收益率的影响，避免过度归因于个人能力。
“驱动企业增长且不被线性描述的因子，我们即使是没有办法去有效定价，我们也一定要承认它的存在。”——他以此引出X factor概念，强调超额认知的来源。
# Q&amp;A 环节
问：您刚刚讲到在重视终局结果的过程中，也更加关注格局演进的阶段性特征和中期投资机会，能否再详细描述一下？
答：这个想法源于我们过去错过了一些特别大的机会，我们判断这些行业的终局可能不大行，但明明判断对了，却在两三年的时间里错过了十几倍的涨幅。复盘发现，这些企业虽然某一代产品被追上，但做出了第二增长曲线，且壁垒更深。所以我们开始承认终局可能没那么强，但依然能做出好的投资，希望未来不再错过类似机会。
问：您在年报中讲到坚定持有优秀乃至伟大的公司，请问判断标准是否有具体财务指标？
答：伟大公司在财务指标里看不出来。我举例两家公司，A和B都在自己领域把成本做到行业最低，市场份额稳固提升。但B公司不怎么做研发，靠精细化管理；A公司每年高额研发，关键技术指标快速迭代，且从董事长到技术骨干都有强烈的产业报国精神，从跟着日本人、德国人学到超越对手，堪称伟大企业。
问：全市场基金的选股逻辑是什么？消费以外的行业选股基于什么逻辑？
答：我们很难分消费内消费外，选股逻辑都一样，都是基于不可能三角、企业三阶段、三种商业模式等。消费行业只许买消费，所以只能在消费里选，两者逻辑完全一样。
问：您怎么看血制品行业的竞争壁垒？
答：我们初步研究过，觉得壁垒不是特别强，不是我们想要的那种强壁垒，所以没有深入，我们买了另外一些强壁垒的公司。
问：农林牧渔行业持仓有所提升，您对这个行业怎么看？
答：农林牧渔行业提升是因为牧原股份，就那一只股票。不是先看好行业再选牧原，而是牧原比例提高了，就这么简单。
问：能否具体讲一下生意模式里商增和商减的分析？
答：用直白的话讲，企业从小到大，部门越来越多，传达效率变低，内部腐败出现，为解决这些问题又增设部门，导致效率进一步下降。有些生意收入从10亿到100亿，机构没多几个部门；有些企业则被商增拖死。我建议大家读党史，看组织如何保持活力，很多国家和企业都是被商增拖死的。
问：您讲到伟大企业的增长曲线，能否再具体讲一下？
答：有些企业每年看是线性增长，但拉长到10年，会在关键节点突然甩开竞争对手。比如疫情时只有顺丰能送，一下子拉开差距；家电领域美的做渠道扁平化，疫情时占有率突然超过格力。这些企业平时直线发展，但在特殊时刻拐上去，就像下雨时有人带了伞。
问：您讲到财富管理行业，能否具体展开投资逻辑和机会？
答：财富管理行业话题很大，且分层，顶级富豪、中产阶级、中低收入者的财富管理方式不同，商业模式也不同。我们最早研究保险时发现，不同保险公司业务员单均保费差距巨大，背后是结构设置、激励机制、文化的差异。财富分布极不均匀，头部公司可能拿走行业增量的绝大部分，这种偏激分布可能诞生特别大的企业。但受监管和法律限制，我们有些产品暂时不能投类似标的，未来合同设置更清晰时可能会有所体现。
问：您讲到第二第三增长曲线需要卓越的企业家精神，请问观察这个指标有什么心得？
答：第一，评判时要特别小心谨慎，不要乱归因，把所有能归因到客观指标的都归因完，再谨慎评价虚的因素。第二，不要轻易给这些因素定价，绝对不要说因为企业家在，公司就值多少。我们一致同意它不可被定价。这些虚的因素在客观归因穷尽后再考虑，且只能在两两比较中比较企业家水平，不要跨行业比较。要谨慎使用“企业家精神”“伟大企业”等词，避免错误归因。</t>
        </is>
      </c>
      <c r="D25" s="11" t="n">
        <v>66.59999999999999</v>
      </c>
      <c r="E25" t="inlineStr">
        <is>
          <t>26252/2922</t>
        </is>
      </c>
    </row>
    <row r="26" ht="13.5" customHeight="1" s="10">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s="4" t="inlineStr">
        <is>
          <t># 超能力之爱是否美好辩论赛
超能力之爱是否美好辩论赛
会议要点：本次辩论赛围绕“拥有让任何人爱上自己的超能力是否美好”展开，正方RUC棒辩论队主张超能力客观存在，且掌握在爱你的人手里比交给蒙眼小孩更好，月老丘比特是浪漫象征；反方则认为爱是自由意志的产物，超能力抹杀对方决定，类似洗脑和占有。；正方指出爱非意志可控，用“坠入爱河”等例证反驳，并质疑对方未论证爱是玄学，指出科学无法解释爱的特殊性；反方坚持洗脑不是爱，并质疑超能力剥夺对方选择空间，是自私的占有。；正方最终获胜，获得4分钟小结时间。
未决问题：爱是否与自由意志相关？；超能力发动机制是洗脑还是其他？；放手的爱是否成立？
（生成可能有误）</t>
        </is>
      </c>
      <c r="D26" s="11" t="n">
        <v>31.8</v>
      </c>
      <c r="E26" t="inlineStr">
        <is>
          <t>12403/300</t>
        </is>
      </c>
    </row>
    <row r="27" ht="13.5" customHeight="1" s="10">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s="4" t="inlineStr">
        <is>
          <t># 就诊概况
患者为结肠癌术后患者，2023年9月因结肠癌行切除手术，术后完成8期化疗，后出现肝转移，去年9月行肝消融和乳腺结节切除，因肝功能不佳停用部分化疗药，3月底复查发现肝、肺、腹膜转移。患者主诉为肚子疼，疼了一晚上，既往有吃海鲜后上吐下泻史。初步诊断为结肠癌术后多发转移（肝、肺、腹膜）。医生建议优先进行全身系统治疗（化疗、靶向、免疫），而非局部介入，并建议进行基因检测和免疫评估以指导后续治疗。
# 诊断与检查结果
诊断结论：结肠癌术后多发转移，累及肝脏、肺、腹膜。关键检查结果：PET-CT显示肝转移、肺转移、腹膜转移；肠镜显示未见异常，但PET-CT显示有转移，医生认为可能肠镜做得不好；基因检测提示存在基因突变，但具体类型未明确。异常指标：肝功能不佳，导致停用部分化疗药。
# 治疗方案与医嘱
治疗计划：优先进行全身系统治疗，包括化疗、靶向治疗和免疫治疗。建议进行基因检测和免疫评估，以指导后续用药选择。生活注意事项：注意饮食，避免食用海鲜等可能引起肠胃不适的食物；可服用四联康调节肠道菌群。重点提醒：肝功能不佳时需调整化疗方案，避免使用肝毒性药物。
| 药品名称 | 剂量 | 频次 | 用法 | 注意事项 |
| --- | --- | --- | --- | --- |
| 四联康 | 未明确 | 未明确 | 口服 | 用于调节肠道菌群，改善肠胃不适 |
| 化疗药（具体药名未明确） | 未明确 | 未明确 | 静脉给药 | 因肝功能不佳，已停用其中一种药物 |
# 复诊与预警信号
复诊时间：未明确。预警症状：⚠️ 若出现剧烈腹痛、持续呕吐、便血、呼吸困难或意识改变，需立即就医。</t>
        </is>
      </c>
      <c r="D27" s="11" t="n">
        <v>20.8</v>
      </c>
      <c r="E27" t="inlineStr">
        <is>
          <t>7063/708</t>
        </is>
      </c>
    </row>
    <row r="28" ht="13.5" customHeight="1" s="10">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s="4" t="inlineStr">
        <is>
          <t># 产品概况
海尔叠黛H2洗干集成机是海尔为中国家庭打造的原创之作，定位为洗干集成新物种。发布会背景源于中国80%用户将洗烘套装叠放阳台带来的操作不便，产品专为客阳一体空间设计，以一体集成机身解决洗烘套叠放带来的震动等安全隐患。产品高度167厘米，超薄机身可嵌入60厘米标准橱柜，采用同向开门与无水盒设计。核心目标是为向往整洁有序新阳台的用户提供一体化洗护体验，让用户享受家的整洁有序。
# 市场定位与目标用户
目标人群覆盖多类中国家庭：一是追求客阳一体家居风格的年轻用户，他们在阳台休闲娱乐、健身、社交，悬挂晾衣既不美观又占空间；二是养宠家庭，居家环境漂浮的毛屑多来自衣物家纺；三是有宝宝的家庭，需要洗衣无残留、干衣无毛絮的健康守护。产品针对中国80%用户将洗烘套装叠放阳台的痛点，对比欧洲家庭独立洗衣房并排摆放洗烘套装的使用习惯，以一体集成设计解决屏幕过高、开门方向相反、水盒太高太沉等不便，形成差异化竞争力。
# 核心卖点与技术参数
**一体集成设计**：专为客阳一体空间设计，一体集成机身解决洗烘套叠放带来的震动等安全隐患，高度167厘米，超薄机身嵌入60厘米标准橱柜，纯平不突出，同向开门，采用无水盒设计无需手动倒水。
**智慧互联**：搭载全新升级的智慧大脑，利用中枢神经式智能网络让上下桶默契配合；独有的灵犀洗烘联动实现数据共享，洗涤结束前上桶提前15分钟主动预热，缩短烘干时长。
**烘干技术**：搭载原创双擎热泵技术，大件烘干不缠绕；首次引入行业领先黑科技3D透视烘干，羽绒服、水洗被均可一次烘透，免去二次晾晒。
**洗护功能**：升级精华洗2.0，39分钟洗净一周衣物；新鲜净水漂洗减少洗衣液残留，对残留泡沫敏感人群友好。
**健康与静音**：搭载空净过滤系统，去除衣物线屑和毛絮；搭载三台变频电机，洗涤、甩干、烘干全过程噪音低。
| 维度 | 本产品 | 上代/竞品 | 提升 |
| --- | --- | --- | --- |
| 机身设计 | 一体集成机身，高度167厘米，嵌入60厘米标准橱柜 | 洗烘套装叠放，屏幕过高、开门方向相反、水盒太高太沉 | 解决震动安全隐患，操作更便捷，阳台更美观整洁 |
| 洗烘联动 | 灵犀洗烘联动，上桶提前15分钟预热 | 洗烘套装貌合神离 | 数据共享，烘干与洗涤无缝连接，缩短烘干时长 |
| 烘干技术 | 原创双擎热泵+3D透视烘干 | 未提及 | 大件烘干不缠绕，羽绒服、水洗被一次烘透 |
| 洗涤技术 | 精华洗2.0，39分钟洗净一周衣物 | 未提及 | 高效洗净，新鲜净水漂洗减少洗衣液残留 |
| 健康功能 | 空净过滤系统 | 未提及 | 去除线屑毛絮，适合养宠及有宝宝家庭 |
| 静音表现 | 三台变频电机 | 未提及 | 洗涤、甩干、烘干全过程噪音低 |
# 定价与发售信息
发布会公布两款定价：10kg 3D透视烘干款12998元，10kg净净双擎热泵款10998元。发售时间、购买渠道及预售政策原文未提及。</t>
        </is>
      </c>
      <c r="D28" s="11" t="n">
        <v>101.6</v>
      </c>
      <c r="E28" t="inlineStr">
        <is>
          <t>7311/1265</t>
        </is>
      </c>
    </row>
    <row r="29" ht="13.5" customHeight="1" s="10">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c r="C29" s="4" t="inlineStr">
        <is>
          <t># 芦塘支部换届选举党员大会
芦塘支部换届选举党员大会
会议要点：中共巢湖市银屏镇白母山村芦塘支部召开党员大会，改选支部委员会。支部共有正式党员8名，因病请假1名，实到有选举权党员7名，符合法定人数。镇党委组织委员钱小丽到会讲话，提出三点意见：充分认识大会意义、正确行使选举权、服从大局遵守纪律。；上届支部委员会作工作报告，总结三年工作：加强思想政治建设、抓好支部建设、开展主题教育、党务公开、党风党纪教育，新发展党员一名，按规定收缴党费2640元上交上级党组织；同时指出存在不足：党建工作制度不完善、党员主体意识不高、教育管理监督不深入。报告经讨论无意见，鼓掌通过。；大会依次通过选举办法、支委候选人名单（卢燕娇、辛东升、杜军强、秦磊）、监票人贾淑玲及计票人黄婷丽、刘彩云名单。经无记名投票，卢燕娇、辛东升、杜军强当选为新一届支部委员会委员；随后召开第一次支委会，卢燕娇当选支部书记，辛东升负责组织宣传工作，杜军强负责纪检工作。
关键决策：通过上届支部委员会工作报告；通过党员大会选举办法；通过支委候选人名单：卢燕娇、辛东升、杜军强、秦磊；通过监票人贾淑玲，计票人黄婷丽、刘彩云；选举卢燕娇、辛东升、杜军强为新一届支部委员会委员；选举卢燕娇为支部书记；辛东升负责组织宣传工作，杜军强负责纪检工作
全员执行要点：卢燕娇当选支部书记，负责主持支部全面工作，并代表新一届支委表态将抓好学习、制度建设和服务型支部建设。；辛东升负责组织宣传工作，并在第一次支委会中担任监票人和计票人。；杜军强负责纪检工作。
（生成可能有误）</t>
        </is>
      </c>
      <c r="D29" s="11" t="n">
        <v>41.3</v>
      </c>
      <c r="E29" t="inlineStr">
        <is>
          <t>8414/658</t>
        </is>
      </c>
    </row>
    <row r="30" ht="13.5" customHeight="1" s="10">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c r="C30" s="4" t="inlineStr">
        <is>
          <t># 报告概况
《政府工作报告》由国务院总理代表国务院向全国人民代表大会报告，报告期间为2023年工作回顾与2024年工作部署。报告核心主题是坚持稳中求进工作总基调，完整、准确、全面贯彻新发展理念，着力推动高质量发展，统筹扩大内需和深化供给侧结构性改革，统筹新型城镇化和乡村全面振兴，统筹高质量发展和高水平安全，以中国式现代化全面推进强国建设、民族复兴伟业。整体基调积极进取，既肯定2023年成绩来之不易，又直面外部环境复杂性上升、经济恢复基础不稳固、有效需求不足、社会预期偏弱等困难挑战，强调要巩固和增强经济回升向好态势，持续推动经济实现质的有效提升和量的合理增长。
# 核心政策
2024年主要预期目标：**国内生产总值增长5%左右**，**城镇新增就业1120万人**，**城镇调查失业率5.5%左右**，**居民消费价格涨幅3%左右**，**居民收入增长和经济增长同步**，**国际收支保持基本平衡**，**粮食产量1.3万亿斤以上**，**单位国内生产总值能耗降低2.5%左右**，生态环境质量持续改善。宏观政策取向：积极的财政政策适度加力、提质增效，**赤字率按3%安排**，**一般公共预算支出规模28.5万亿元**，**地方政府专项债券3.9万亿元**，**发行超长期特别国债10000亿元**，专项用于国家重大战略实施和重点领域安全能力建设；稳健的货币政策灵活适度、精准有效，保持流动性合理充裕，促进社会综合融资成本稳中有降，增强资本市场内在稳定性，保持人民币汇率在合理均衡水平上基本稳定。核心政策包括：大力推进现代化产业体系建设，加快发展新质生产力；深入实施科教兴国战略；着力扩大国内需求；坚定不移深化改革；扩大高水平对外开放；更好统筹发展和安全；坚持不懈抓好三农工作；推动城乡融合和区域协调发展；加强生态文明建设；切实保障和改善民生。
# 重点工作
**一、现代化产业体系建设**：实施制造业重点产业链高质量发展行动，推动传统产业高端化、智能化、绿色化转型，促进中小企业专精特新发展；巩固扩大智能网联、新能源汽车等产业领先优势，制定未来产业发展规划；深入推进数字经济创新发展，开展`人工智能+`行动，实施制造业数字化转型行动。**二、科教兴国战略**：制定实施教育强国建设规划纲要，开展基础教育扩优提质行动，加快建设中国特色世界一流的大学和优势学科；强化基础研究系统布局，推进关键核心技术协同攻关，强化企业科技创新主体地位；实施更加积极、更加开放、更加有效的人才政策，加大对青年科技人才支持力度。**三、扩大国内需求**：培育壮大新型消费，实施数字消费、绿色消费、健康消费促进政策，鼓励和推动消费品以旧换新；发挥政府投资带动放大效应，重点支持科技创新、新型基础设施、节能减排降碳等领域，着力稳定扩大民间投资。**四、深化改革**：深入实施国有企业改革深化提升行动，全面落实促进民营经济发展壮大的意见及配套举措，实施降低物流成本行动，健全防范化解拖欠企业账款长效机制；加快全国统一大市场建设，专项治理地方保护、市场分割、招商引资不当竞争等突出问题；谋划新一轮财税体制改革。**五、扩大高水平对外开放**：推动外贸稳规模优结构，促进跨境电商等新业态健康发展，拓展中间品贸易、绿色贸易等新增长点；**全面取消制造业领域外资准入限制措施**，放宽电信、医疗等服务业市场准入；推动高质量共建`一带一路`走深走实，抓好八项行动落实落地。**六、统筹发展和安全**：优化房地产政策，促进房地产市场平稳健康发展，加快构建房地产发展新模式，加大保障性住房建设和供给；统筹好地方债务风险化解和稳定发展，进一步落实一揽子化债方案；稳妥推进中小金融机构风险处置；全方位夯实粮食安全根基，强化能源资源安全保障。**七、三农工作**：学习运用`千村示范、万村整治`工程经验，稳定粮食播种面积，严守耕地红线，提高高标准农田建设投资补助水平；毫不放松巩固拓展脱贫攻坚成果，确保不发生规模性返贫；**启动第二轮土地承包到期后再延长30年整省试点**。**八、城乡融合和区域协调发展**：把加快农业转移人口市民化摆在突出位置，深化户籍制度改革，推动未落户常住人口平等享受城镇基本公共服务；深入实施西部大开发、东北全面振兴、中部地区加快崛起、东部地区加快推进现代化等战略，支持京津冀、长三角、粤港澳大湾区等地区发挥高质量发展动力源作用。**九、生态文明建设**：深入实施空气质量持续改善行动计划，统筹水资源、水环境、水生态治理，组织打好`三北`工程三大标志性战役；大力发展绿色低碳经济，推进产业结构、能源结构、交通运输结构绿色转型；积极稳妥推进碳达峰碳中和，扎实开展`碳达峰十大行动`。**十、保障和改善民生**：突出就业优先导向，强化促进青年就业政策，预计今年高校毕业生超过1170万人；**居民医保人均财政补助标准提高30元**，深化公立医院改革，引导优质医疗资源下沉基层；**城乡居民基础养老金月最低标准提高20元**，继续提高退休人员基本养老金；健全生育支持政策，减轻家庭生育养育教育负担；维护国家安全和社会稳定，坚决遏制重特大事故发生。</t>
        </is>
      </c>
      <c r="D30" s="11" t="n">
        <v>60</v>
      </c>
      <c r="E30" t="inlineStr">
        <is>
          <t>9903/2116</t>
        </is>
      </c>
    </row>
    <row r="31" ht="13.5" customHeight="1" s="10">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c r="C31" s="4" t="inlineStr">
        <is>
          <t># 杭州医学院医学技术硕士点招生宣讲
杭州医学院医学技术硕士点招生宣讲
会议要点：本次直播为杭州医学院医学技术专业硕士点招生宣讲，由检验医学院、生物工程学院（合署办公）及医学影像学院、康复学院、信息工程学院共5个学院共同承担培养工作，聚焦四个主要专业方向：检验技术（细分为医检和卫检）、医学影像技术、康复治疗、智能医学工程。2025年录取64人，其中检验方向38人、影像方向11人、康复方向13人、智能医学工程方向2人。；学科建设方面，医学技术学科2023年获批省一流学科B类，近五年获国家级基金项目19项，纵向科研经费1300万，横向合作课题经费2200多万，获省科技进步一等奖2项、二等奖1项、三等奖2项；建有国家级一流本科课程2门、国家级一流本科专业建设点2个及多个省级科研平台。师资队伍方面，专任教师90人，高级职称53人（占30%以上），博士55人，硕导69人，其中正高35人，博士占比46人。；2026年招考计划以教育部正式下达为准，初试科目为思想政治理论、英语（统考）及按方向自主命题的专业课（检验综合、医学影像技术综合、康复治疗综合、智能医学工程综合），实践分值300分、考试时长180分钟；复试初试占60%、复试占40%，复试内容为英语能力测试20%、专业能力测试40%、综合能力测试40%，形式以线下为主。
（生成可能有误）</t>
        </is>
      </c>
      <c r="D31" s="11" t="n">
        <v>56.9</v>
      </c>
      <c r="E31" t="inlineStr">
        <is>
          <t>23026/572</t>
        </is>
      </c>
    </row>
    <row r="32" ht="13.5" customHeight="1" s="10">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c r="C32" s="4" t="inlineStr">
        <is>
          <t># 课程概况
本次课程为历史小论文写作指导课，围绕观点明确、论证条理、材料运用等展开。教师通过例题讲解自命题、观点提示、图表信息等题型，并分析学生答案，强调审题、罗列事实、升华观点。课程指出观点必须明确，不能只是陈述形式；论证一般写两到三条，不宜过多；内容需支撑论点；写作顺序可先写背景学术报告再写观点；可用序号或直接列出，但逻辑要清晰，如按时间脉络或国内外分类；最后需进行总结升华，不能简单重复观点。
# 核心知识点梳理
**小论文写作基本要求**：观点必须明确，不能只是陈述形式；论证一般写两到三条，不宜过多；内容需支撑论点；写作顺序可先写背景学术报告再写观点；可用序号或直接列出，但逻辑要清晰，如按时间脉络或国内外分类；最后需进行总结升华，不能简单重复观点。
**自命题类题型解题步骤**：先审题，注意要求如世界史知识、范围限制、小红帽要求及形成标准；再读材料，抓主要信息，细看关系；最后控制，先写题目，罗列事实，再论述升华。以武汉长江大桥为例，分析学生答案，指出背景、措施、影响等，强调时间顺序如先对内改革后对外开放。
**观点提示类题型**：需先看观点，选择核心观点，明确表达自己的判断，不能照抄材料。以1940年抗战时期材料为例，分析四个观点，学生选择第二条，论证中华文化优越性，如丝绸之路、四大发明等，强调敬畏祖国历史。
**图表信息类题型**：需迅速查看图表关键信息，如题头、横向纵向信息，注意关系变化，提取有效信息进行分析。以中国历代民德变化图为例，讨论不同时期民德高低与政治、思想的关系，如唐朝国力强盛但民德较低，宋朝民德繁盛等，并参考官方答案。
# 课堂互动与答疑
问：武汉长江大桥的题目如何审题？
答：要审题看要求，注意是否限定世界史知识或范围，先写题目再罗列事实，按时间顺序如先对内改革后对外开放。
问：观点提示类题目如何选择观点？
答：先看观点，选择核心观点，明确表达自己的判断，不能照抄材料，要结合史实论证。
问：图表信息类题目如何分析？
答：迅速查看图表关键信息，如题头、横向纵向信息，注意关系变化，提取有效信息进行分析。
&gt; 教师提醒：观点要明确，论证两三条，逻辑清晰，最后升华。
# 课后任务与学习建议
未提及</t>
        </is>
      </c>
      <c r="D32" s="11" t="n">
        <v>35.5</v>
      </c>
      <c r="E32" t="inlineStr">
        <is>
          <t>12357/926</t>
        </is>
      </c>
    </row>
    <row r="33" ht="13.5" customHeight="1" s="10">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c r="C33" s="4" t="inlineStr">
        <is>
          <t># 报告概况
十四届全国人大三次会议于2025年开幕，出席代表2880人，缺席49人，符合法定人数。会议共有四项议程，第一项为审议政府工作报告，由国务院总理李强代表国务院作报告。报告回顾2024年工作，指出经济运行总体平稳，国内生产总值达134.9万亿元，增长5%；城镇新增就业1256万人，居民消费价格上涨0.2%；粮食产量首次跃上1.4万亿斤新台阶，新能源汽车年产量突破1300万辆；嫦娥六号实现人类首次月球背面采样返回。同时指出外部环境复杂严峻，内需不振、预期偏弱等问题交织叠加。报告提出2025年经济社会发展总体要求，部署十大工作任务，整体基调为稳中求进、迎难而上，高质量完成十四五规划目标任务。
# 核心政策
2025年主要预期目标：**国内生产总值增长5%左右**，**城镇调查失业率5.5%左右**，**城镇新增就业1200万人以上**，**居民消费价格涨幅2%左右**，居民收入增长和经济增长同步，国际收支保持基本平衡，**粮食产量1.4万亿斤左右**，**单位国内生产总值能耗降低3%左右**。实施更加积极的财政政策，**赤字率拟按4%左右安排**，**赤字规模5.66万亿元**，发行超长期特别国债1.3万亿元，拟发行特别国债5000亿元支持国有大型商业银行补充资本，安排地方政府专项债券4.4万亿元，合计新增政府债务总规模11.86万亿元。实施适度宽松的货币政策，适时降准降息。安排超长期特别国债3000亿元支持消费品以旧换新，中央预算内投资安排7350亿元。
# 重点工作
**经济领域**：大力提振消费、提高投资效益，全方位扩大国内需求，实施提振消费专项行动，安排超长期特别国债3000亿元支持消费品以旧换新，扩大健康、养老、托幼、家政等多元化服务供给，加快数字、绿色、智能等新型消费发展；因地制宜发展新质生产力，培育壮大新兴产业、未来产业，培育生物制造、量子科技、具身智能、6G等未来产业，推动传统产业改造升级，激发数字经济创新活力；扩大高水平对外开放，稳定对外贸易发展，促进跨境电商发展，大力鼓励外商投资，推动高质量共建一带一路走深走实。
**民生领域**：更大力度稳定和扩大就业，实施重点领域、重点行业、城乡基层和中小微企业就业支持计划；强化基本医疗卫生服务，深化以公益性为导向的公立医院改革，优化药品集采政策；完善社会保障和服务政策，**城乡居民基本养老金最低标准再提高20元**，适当提高退休人员基本养老金，制定促进生育政策并发放育儿补贴，大力发展托幼一体服务；深入实施科教兴国战略，制定实施教育强国建设三年行动计划，逐步推行免费学前教育，推进高水平科技自立自强。
**环保领域**：协同推进降碳、减污、扩绿、增长，持续深入推进蓝天碧水净土保卫战，全面推进以国家公园为主体的自然保护地体系建设，加快发展绿色低碳经济，积极稳妥推进碳达峰碳中和，建立零碳园区、零碳工厂，开展煤电低碳化改造试点示范。
**改革与风险防范**：推动标志性改革举措加快落地，高质量完成国有企业改革深化提升行动，开展规范涉企执法专项行动，纵深推进全国统一大市场建设；有效防范化解重点领域风险，持续用力推动房地产市场止跌回稳，稳妥化解地方政府债务风险，积极防范金融领域风险。
**三农与城镇化**：着力抓好三农工作，稳定粮食播种面积，严守耕地红线，高质量推进高标准农田建设，巩固拓展脱贫攻坚成果；推进新型城镇化和区域协调发展，科学有序推进农业转移人口市民化，持续推进城市更新和城镇老旧小区改造。</t>
        </is>
      </c>
      <c r="D33" s="11" t="n">
        <v>36.3</v>
      </c>
      <c r="E33" t="inlineStr">
        <is>
          <t>10273/1456</t>
        </is>
      </c>
    </row>
    <row r="34" ht="13.5" customHeight="1" s="10">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c r="C34" s="4" t="inlineStr">
        <is>
          <t># 全文摘要
本次会议为景城苑小区物业招标答疑及评标会，两家物业公司（富家物业、资平物业）分别回答业主关于改造计划、停车管理、承接查验、安防整改等问题。富家物业提出具体改造项目在标书117页，预计一年内完成；停车管理方面提出分析乱停原因、增加停车位、保安劝阻、增设隔离墩、建设外围停车场、增设电动车停车场；承接查验方面提出提前两周项目负责人入场摸底、提前一周服务人员到位培训，交接不畅时先私下沟通，再请业委会或街道协调，必要时采取强制措施；安防方面提出增设人行门禁系统、升级大堂报到系统、登记临时车辆、增设隔离墩、建设外围停车场；业主满意度方面提出四句话：用心倾听、如实记录、马上处理、及时反馈。资平物业提出四步举措：进场一个月集中资源整改环境绿化，半年内排查设备设施，八个月内完成重大改造，一年内保证小区有序；停车管理方面提出收集业主车辆信息、制定停车管理方案、升级道闸系统、技术手段监控；承接查验方面提出前期准备充分，与社区街道派出所沟通，分专业组查验，增派150%人员；安防方面提出关键岗位用老员工、登记核实外来车辆、升级道闸、技术手段监控；业主满意度方面提出财务透明、管理透明、导入顾客管理系统、大数据管理投诉、开展社区文化活动；包干制经验方面介绍在湖南有11个项目，其中10个包干制，强调财务透明、团队直招、管理干部选拔，提供居家上门免费服务、家政、24小时护送等；楼层杂物与晾晒问题方面提出宣传引导、联合社区应急部门、上门沟通、设置临时堆放区、集中晾晒区、免费上门晾晒服务，强调疏导而非强制。评标委员会打分，去掉最高最低分，全程保密。最终评标结果：第一名（中标候选人）为深圳市资平物业发展有限公司，第二名长沙富佳物业管理有限公司72.91分，第三名湖南恒基恒基居业物业管理有限公司60.73分，第四名重庆新东源新东源物业管理有限公司54.48分。
## 改造计划与时间
- 富家物业称具体改造项目在标书117页，预计一年内完成。资平物业提出四步举措：进场一个月集中资源整改环境绿化，半年内排查设备设施，八个月内完成重大改造，一年内保证小区有序。
- 富家物业提出分析乱停原因，增加停车位、保安劝阻、增设隔离墩、建设外围停车场、增设电动车停车场。资平物业提出收集业主车辆信息、制定停车管理方案、升级道闸系统、技术手段监控。
## 承接查验与安防整改
- 富家物业提出提前两周项目负责人入场摸底，提前一周服务人员到位培训，交接不畅时先私下沟通，再请业委会或街道协调，必要时采取强制措施。资平物业提出前期准备充分，与社区街道派出所沟通，分专业组查验，增派150%人员。安防方面，富家物业提出增设人行门禁系统、升级大堂报到系统、登记临时车辆、增设隔离墩、建设外围停车场；资平物业提出关键岗位用老员工、登记核实外来车辆、升级道闸、技术手段监控。</t>
        </is>
      </c>
      <c r="D34" s="11" t="n">
        <v>55.5</v>
      </c>
      <c r="E34" t="inlineStr">
        <is>
          <t>11743/1173</t>
        </is>
      </c>
    </row>
    <row r="35" ht="13.5" customHeight="1" s="10">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c r="C35" s="4" t="inlineStr">
        <is>
          <t># 讲座概况
本期视频由主讲人李正（正直讲史）讲述康熙朝文渊阁大学士陈廷敬的一生，分为母亲张氏开蒙、圣祖康熙的讲师、至公无私的落幕三个阶段。陈廷敬本名陈敬，字子端，号午亭，1638年生于山西泽州府阳城县，书香门第，六代读书人。影视剧中支持撤藩、招抚台湾、征剿噶尔丹等功绩均非史实，但康熙临终前仍询问是否有类似陈廷敬的大臣。陈廷敬童年由母亲张氏开蒙，6岁前已背诵《论语》《孟子》《大学》《中庸》《诗经》，14岁以全省第一考中秀才，20岁中举，21岁中进士入翰林。入翰林后因与直隶通州陈敬重名，主动上书改名，顺治赐“廷”字。顺治18年庶吉士毕业考试获第一，授秘书院检讨，同年顺治驾崩，康熙元年母亲病倒，请假归乡三年。重返官场后，康熙六年考察一等，两年后升国子监司业，整顿收礼陋习。康熙11年充日讲起居注官，康熙15年充经筵讲官，教学风格外放。康熙16年任翰林院掌院学士，同年母亲去世，康熙破例派大臣祭奠，礼部反对后康熙坚持追封。康熙23年任左都御史，上奏捐纳者需考试，获康熙支持并扩大至已任官员。康熙26年亲家张谦贪污案牵连陈廷敬，康熙令密查不蔓延，陈廷敬主动辞官，一年后复任左都御史。康熙42年任文渊阁大学士，总理南书房，70岁起四次申请退休，康熙49年准奏并赐匾联。75岁病逝，谥号文贞。
# 核心观点与论证
讲座按时间顺序分三阶段展开。第一阶段“妈妈张氏的开蒙”：陈廷敬本名陈敬，字子端，号午亭，1638年生于山西泽州府阳城县，书香门第，六代读书人。母亲张氏自幼随父张弘毅读书，精通儒家经典，婚后仍勤学不辍，陈廷敬6岁前已背诵《论语》《孟子》《大学》《中庸》《诗经》。9岁作诗《咏牡丹》获母亲称赞。14岁以全省第一考中秀才，20岁中举，21岁中进士入翰林。入翰林后因与直隶通州陈敬重名，对方不习满文被顺治罚俸，陈廷敬主动上书改名，顺治赐“廷”字。顺治18年庶吉士毕业考试获第一，授秘书院检讨。同年顺治驾崩，康熙元年母亲病倒，请假归乡三年。第二阶段“圣祖康熙的讲师”：重返官场后，康熙六年考察一等，两年后升国子监司业，整顿收礼陋习。康熙11年充日讲起居注官，康熙15年充经筵讲官，教学风格外放，曾痛骂孙权背刺关羽。康熙16年任翰林院掌院学士，同年母亲去世，康熙破例派大臣祭奠，礼部反对后康熙坚持追封。第三阶段“至公无私的落幕”：康熙23年任左都御史，上奏捐纳者需考试，获康熙支持并扩大至已任官员。后历任工部、户部、吏部尚书，整顿各领域。康熙26年亲家张谦贪污案牵连陈廷敬，康熙令密查不蔓延，陈廷敬主动辞官，一年后复任左都御史。康熙42年任文渊阁大学士，总理南书房，70岁起四次申请退休，康熙49年准奏并赐匾联。75岁病逝，谥号文贞。
# 金句总结
“朕日望大学士病体速愈，在佐朕料理机务几年。若事出意外，大臣中学问人品如大学士可代理内廷事务者为谁？”——康熙在陈廷敬临终前询问是否有类似大臣，体现对其学问人品的极高信任。“自古未有不晓文艺之人可以为民父母者也”——陈廷敬主张捐纳者需考试，强调父母官必须有文化。“苟正其身矣，于从政乎何有？”——出自《论语》，陈廷敬一生践行，自身品行端正则治理政事无困难。
# Q&amp;A 环节
未提及</t>
        </is>
      </c>
      <c r="D35" s="11" t="n">
        <v>51.7</v>
      </c>
      <c r="E35" t="inlineStr">
        <is>
          <t>9132/1318</t>
        </is>
      </c>
    </row>
    <row r="36" ht="13.5" customHeight="1" s="10">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c r="C36" s="4" t="inlineStr">
        <is>
          <t># 访谈概述
本期《锵锵三人行》由主持人窦文涛与嘉宾马未都、当年明月围绕日本历史剧《大奥》与明朝历史展开对谈。节目先讨论《大奥》所反映的日本历史阶段与文化精神，认为其严谨、极端、忠诚的文化特质与中国的“中庸”精神形成鲜明对比，并以日本战后三十年成为世界第二经济强国、终身雇佣制、跳槽率、豆腐厂凌晨作业等事例佐证。随后话题转向明朝历史，当年明月解释自己写明史是因为明史资料最多但说法不一，并讨论朱元璋的崛起、明朝制度、明末市民生活、正德与天启等皇帝的个性行为，以及明式家具在国际上的地位。
# 访谈详细记录
议题一：日本历史剧《大奥》与文化差异
- 当年明月认为《大奥》是一部非常优秀的剧，反映日本历史阶段：前两部相当于中国晚清到清初，第三部在明治维新之前，具有跨越性。
- 当年明月指出《大奥》吸引他的是严谨精神，日本历史剧中群众演员不会笑，每个人都认真、有专业精神。
- 马未都解释“大奥”即后宫，日本话“奥”指很深的地方，如“深奥”。
- 当年明月提到日本天皇是摆设，实际权力在幕府将军，德川家康开创德川幕府后权力集中；曾有一段天皇没钱办活动，找将军要钱被拒，最后活动没办，天皇以退位抗议。
- 当年明月认为日本文化体现“极端精神”，所有事情做到尽头；战后1945年日本用30年成为世界第二经济强国（绝对量），是必然，源于全民族极端精神，且日本是世界上强国中唯一没有资源的国家。
- 当年明月对比中日文化：中国文化精神是“中庸”，讲究融合，不是对错黑白之间，而是最适合的路；日本精神坚持一个原则，如炮手忘记一切只记得开炮即达最高境界。
- 马未都强调日本是忠诚文化的典型国家，多次去日本未感到难过或非礼；日本跳槽率最高，但终身雇佣制下效率仍高，是经济学奇迹。
- 马未都以《大奥》中阿福为例：25岁进大奥当奶妈，65岁去世，40年做事不处私心，完全公心，被所有人认为楷模。
- 当年明月指出“慢慢来才是最快的方法”，所有人按自己角度做事最节省成本，形成合力非常可怕。
- 马未都举例日本豆腐厂规定当天做当天卖，夜里11:45所有人坐等，12点整开始干活，4点多干完上市，体现一丝不苟。
- 当年明月认为日本民族因岛国环境恶劣、资源匮乏、火山地震，对世界悲观，必须努力求生存，融入团体按规则做事才能生存；日本聪明人没有生存环境，文化抵制强烈。
- 马未都举例日本做绳子的人几年不赚钱，以不赚钱代价铺开市场，最后加价4%赚大钱。
- 当年明月表示不愿做日本人，因其常盲从，且有寻死的潜在欲望，看樱花只看落的那天，对死亡不惧怕甚至向往，藐视生命，二战日军暴行源于此。马未都则认为日本民族不是藐视生命，而是重视，是“翻着的”。
议题二：明朝历史与明史研究
- 当年明月解释为何写明史：明史资料最多，他最熟；历史研究有两个难点，一是先秦（如孙武事迹在史记中仅一两篇，多为编造），二是明清，因史料说法不一，一个事件可能有七个不同说法，如“罗生门”。
- 马未都补充明朝260多年过程跌宕起伏，如土木堡之变、夺门之变，皇上被瓦剌军抓走，情节离奇如现代电视剧。
- 当年明月推崇朱元璋：从乞丐到皇帝，历史上由最底层人坐上位仅此一个；刘邦好歹是村长/乡长；朱元璋因知道每层猫腻而疑心重，但定下明朝规章制度，基本无大改动，是了不起的人才。
- 马未都认为人的因素最大，改变时势一定出现一个人，是英雄史观。
- 当年明月以朱元璋被汤和劝参加起义军、因信差送信被告发而被迫起义为例，强调历史最重要的是明白它是发生过的，旁观者觉得好玩，但当事人面临掉脑袋风险。
- 马未都认为明朝经验体现在兴亡上，如仁宣盛世、晚明市民生活好，有文徵明、金瓶梅、三言二拍等娱乐产品，江浙工商业兴起，市民生活轻松；李自成起义因陕西灾荒。
- 马未都指出明末工艺品变得精细，日本派大量工匠交流学习；吴门画派如文徵明、唐寅画小桥流水，心态轻松；八大山人朱耷画翻白眼，因对社会愤愤不平。
- 当年明月说“我们从历史中得到的唯一教训就是我们从来没有从历史中得到过教训”，因历史发生时有背景，你不比前人聪明，甚至可能更笨；史书是照片，生活是录像，不能简单套用经验教训。
- 当年明月认为明朝有趣：宦官专政（魏忠贤）、文官专政（张居正）、皇帝专政（朱元璋），皇帝出去还能回来做皇帝；吴三桂入关为崇祯复仇，崇祯本可早跑；1644年北京有瘟疫（疙瘩瘟，可能天花），导致无人抵抗。
- 马未都提到中国王朝300年大限，超过300年的只有宋朝（南北宋接上，退让大半个国土），汉朝中间隔断14年，唐朝、明朝、清朝都没超过。
议题三：明代皇帝与明式家具
- 马未都对比宋明汉人政权与满清异族政权审美：汉人政权是文人政权，审美高，对美判断非表象；满族是异族，判断表象，如故宫大红大紫是满族趣味；今天外在直观的东西卖得贵，100年前晚清民国初值钱的是素雅的。
- 当年明月举例明朝皇帝受限制：明武宗要去江南，大臣跪金水桥抗议，皇帝打锦衣卫打死十几个；到扬州要东西没有，准备酒席吃不了，折合银两带回，皇帝“打秋风”。
- 马未都提到正德皇帝是明朝最荒淫皇帝（清朝最荒淫是咸丰），但正德不留种，没有正宗传下来，到嘉靖拐弯；正德对宫内女人没兴趣，因女人被训练过、禁忌多，他乔装改扮找民女。
- 当年明月为正德翻案：明武宗实录是嘉靖朝杨廷和等人编的，有偏颇，因嘉靖上台搞大礼仪事件，追封自己父亲为皇帝，若把正德写太好则不利；正德从江南回来在通州停半年，先派人打探京城有无埋伏，说明有城府，被写坏了。
- 马未都提到天启皇帝爱当木匠，干完活拆大盆去卖，卖完打听卖得怎么样，成就感特大；反映当时社会时尚，明式家具在国际上地位高，所有偶然中必有必然因素。
# 关键引语与金句
&gt; “慢慢来才是最快的方法。”
&gt; “我们从历史中得到的唯一教训就是我们从来没有从历史中得到过教训。”
&gt; “你站在一个历史的原点，你前后都看不见，你必须撤出来你才能看见。”
&gt; “所有的偶然中一定有个必然的因素。”
&gt; “日本的文化跟中国的文化存在一个极大的不同。中国的文化精神是中庸。”
&gt; “他（朱元璋）太不容易。我们今天说你做个什么事，能做能做什么，这人从一起干，一直到最后，推翻元朝，当上了皇帝，定了多少规章制度。”
&gt; “历史最重要的是什么？就是你要明白它是发生过的。”
&gt; “史书上记载下来是什么？照片。而我们实际上我们的生活古人的生活都是录像。”
&gt; 原话引语……</t>
        </is>
      </c>
      <c r="D36" s="11" t="n">
        <v>53.8</v>
      </c>
      <c r="E36" t="inlineStr">
        <is>
          <t>17496/2640</t>
        </is>
      </c>
    </row>
    <row r="37" ht="13.5" customHeight="1" s="10">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c r="C37" s="4" t="inlineStr">
        <is>
          <t># 访谈概述
本次采访中，作家余华回顾了其文学创作历程，将创作分为1.0、2.0、3.0三个阶段：1.0是逼自己坐下来写，2.0受卡夫卡启发，3.0受福克纳影响，用视觉描写心理。他认为3.0版本已是大海，不再追求高度，转而追求宽度。余华坦言最好的写作状态在40多岁到50岁，即《兄弟》到《第七天》期间，但那段时光被浪费，只出了两部作品。他提到2006年开始写的一部长篇小说因感觉远去而搁置，现在身体状态还能维持激烈，但感觉找不回来。余华对《兄弟》的期望是好评如潮，结果批评如潮，后来学会什么都不看，但重视有道理的批评，如《第七天》中关于小人物善良的批评，会在以后作品中考虑。他建议年轻人通过选择知道什么来隔离负面消息，进行自我调节。
# 访谈详细记录
一、文学创作阶段与理念：余华将文学创作分为3.0阶段：1.0是逼自己坐下来写，让屁股和椅子建立友谊；2.0受卡夫卡启发，写作越写越难，遇到对心理表现的障碍；3.0受威廉·福克纳影响，用视觉描写心理，如福克纳写穷白人杀富白人时让心脏停止跳动、让眼睛睁开，通过视觉精确表达杀人后的状态。余华认为3.0版本已足够，不再升级，因为写作已成熟，知道写农民要用最朴素的语言。二、写作状态与遗憾：余华认为最好的写作状态在40多岁到50岁，即《兄弟》到《第七天》期间，但那段时光被浪费，只出了两部作品。他提到2006年开始写的一部长篇小说，实践跨度与《兄弟》一样，但从个人角度出发，想用接近陀思妥耶夫斯基的激烈方式写，现在身体状态还能维持激烈，但感觉没了，过去时代的感觉在远去，很难找回来。他估计能好好写作的时间可能只剩十年左右。三、未来写作计划：余华希望尽快完成一部喜剧，改变读者对他悲观印象。他计划开学时与学生见面，处理学校事务后回三亚继续写作，找回感觉。四、对批评的态度：余华分享《兄弟》出版时遭遇批评的经历，当时期望好评如潮，结果批评如潮，他努力解释但效果不佳。后来他学会不看批评，但重视有道理的批评，如《第七天》中关于小人物善良的批评，会在以后作品中考虑。五、网络热度与公众人物：余华谈到网络走红后曾停一年活动，发现自媒体时代会翻旧账，互联网上关于他的话有一半不是他说的。他不担心热度消散，因为他的工作是写作，不是说话。六、中年危机与自我调节：余华分享面对中年危机的感受，认为只有写作能带来新东西，现实世界每天重复。他建议年轻人通过选择知道什么来隔离负面消息，屏蔽网上负面消息，选择让自己知道什么、不知道什么。七、历史长河中的姿态：余华希望以遗忘的姿态留在历史长河中，认为历史长河的主题是一个个世界、一个个的人。
# 关键引语与金句
&gt; “假如你不坐下来写写作，你那个躺在床上想我的作品怎么成功，那是没有用的，坐下来让屁股和椅子建立友谊，这是很重要的。”
&gt; “我已经把那个40多岁到50岁最好的一段时间浪费掉了，就出了两部。”
&gt; “把悲伤留给虚构，把欢乐留给现实。”
&gt; “我已经找到了一一个方式，就如何去对待那种批评呢？就第一，你就不要去看就行了。第二，有些批评你要重视。”
&gt; “我们可以选择什么让自己去知道，什么让自己去不知道。”
&gt; “假如那个历史的长河里边有一个主题的话，这个主题就是。一个一个世界，一个一个的人。”
&gt; 原话引语……</t>
        </is>
      </c>
      <c r="D37" s="11" t="n">
        <v>51.9</v>
      </c>
      <c r="E37" t="inlineStr">
        <is>
          <t>11212/1349</t>
        </is>
      </c>
    </row>
    <row r="38" ht="13.5" customHeight="1" s="10">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c r="C38" s="4" t="inlineStr">
        <is>
          <t># 柏林战役历史背景与过程研讨会
柏林战役历史背景与过程研讨会
会议要点：本次研讨会由主讲人介绍柏林战役的历史背景、过程与影响。1945年苏军进抵奥德河-尼斯河一线，距柏林60公里，英美联军距柏林100-120公里；苏军白俄罗斯第一方面军（朱可夫）与乌克兰第一方面军（科涅夫）共约250万人，德军中央集团军群残部及国民掷弹兵约100万人。战役于1945年4月16日开始，苏军炮击并突击，4月20日进抵柏林城区，4月24日突入市区；希特勒于4月30日与妻子艾娃·布劳恩自杀，尸体被焚烧；5月2日柏林德军投降，5月9日德国无条件投降。
（生成可能有误）</t>
        </is>
      </c>
      <c r="D38" s="11" t="n">
        <v>28.9</v>
      </c>
      <c r="E38" t="inlineStr">
        <is>
          <t>4609/274</t>
        </is>
      </c>
    </row>
    <row r="39" ht="13.5" customHeight="1" s="10">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c r="C39" s="4" t="inlineStr">
        <is>
          <t># 全文摘要
会议围绕结婚、买房、工作等社会约定俗成规则的合理性展开讨论，认为这些规则是否合理取决于个人能力、经济条件和遇到的人，经济条件影响可行性。讨论延伸到理想工作形态，认为理想工作是按兴趣干活，如宠物博主、游戏高手等，但指出脏活累活无人承担的问题，进而探讨由AI和机器人承担苦活累活的可能性，认为应让AI做苦活累活而非创作，但存在阶级阻力和实现难度。讨论机器人拥有思想意识后可能不受控制、罢工、反抗人类的风险，引用终结者、人工智能电影、数码宝贝等例子，认为后果灾难性。最后提及语音分离标注测试，讨论两人同时说话时的标注问题，需要认识声音的人标注，单人麦克风效果较强。
## 社会规则与理想工作讨论
- 讨论结婚、买房、工作等社会规则的合理性，认为取决于个人能力和遇到的人，经济条件影响可行性。
- 讨论理想工作为按兴趣干活，提到宠物博主、游戏高手等例子，也指出脏活累活无人承担的问题。
## AI机器人影响与风险讨论
- 认为应让AI做苦活累活而非创作，讨论机器人负责生产、人类享受的可能性，但存在阶级阻力和实现难度。讨论机器人拥有思想后可能不受控制、罢工、反抗人类，引用终结者、人工智能电影、数码宝贝等例子，认为后果灾难性。最后提及语音分离标注测试，讨论两人同时说话时的标注问题，需要认识声音的人标注，单人麦克风效果较强。</t>
        </is>
      </c>
      <c r="D39" s="11" t="n">
        <v>20.2</v>
      </c>
      <c r="E39" t="inlineStr">
        <is>
          <t>3931/565</t>
        </is>
      </c>
    </row>
    <row r="40" ht="13.5" customHeight="1" s="10">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c r="C40" s="4" t="inlineStr">
        <is>
          <t># 全文摘要
会议围绕哥斯拉系列电影剧情展开讨论，梳理了美日两版哥斯拉的起源、各代剧情及怪兽设定。哥斯拉起源于1954年首部电影，为海底生物吸食核废料变异而成，在日本神话中作为大自然守护神存在，因人类核试验破坏生态而报复人类。美国版剧情包括2014年《哥斯拉》中与雾托的战斗、《哥斯拉怪兽之王》中与基多拉的战斗，以及《哥斯拉大战金刚》中与金刚联手击败机械基多拉；日本版剧情更为复杂，2016年《新哥斯拉》中哥斯拉最终被无人机投放炸弹耗尽能量并以冷冻剂封印。讨论延伸至哥斯拉与奥特曼的关联，指出两者导演均为圆谷英二，但属于不同时间线，哥斯拉是地球本土物种，奥特曼来自奥特之星，均为正面形象，未直接战斗；拉顿（翼龙）在两者作品中均作为反派出现。由哥斯拉题材引申讨论核废水危害，提及日本排放核废水、切尔诺贝利核事故导致生物畸形、普里皮亚季成为鬼城，以及日本进口食品问题。发言人2分享在日本留学时购买中国进口鱼类的经历，并指出日本国产产品因民族自信而价格昂贵。
## 哥斯拉系列电影剧情梳理
- 哥斯拉起源于1954年首部电影，为海底生物吸食核废料变异而成，在日本神话中作为大自然守护神，因人类核试验破坏生态而报复人类。美国版剧情包括2014年《哥斯拉》中与雾托的战斗、《哥斯拉怪兽之王》中与基多拉的战斗，以及《哥斯拉大战金刚》中与金刚联手击败机械基多拉。日本版剧情更为复杂，2016年《新哥斯拉》中哥斯拉最终被无人机投放炸弹耗尽能量并以冷冻剂封印。
- 哥斯拉与奥特曼的关联：两者导演均为圆谷英二，但属于不同时间线，哥斯拉是地球本土物种，奥特曼来自奥特之星，均为正面形象，未直接战斗；拉顿（翼龙）在两者作品中均作为反派出现。
## 核废水危害与切尔诺贝利事件讨论
- 由哥斯拉题材引申讨论核废水对身体的危害，提及日本排放核废水、切尔诺贝利核事故导致生物畸形、普里皮亚季成为鬼城，以及日本进口食品问题。发言人2分享在日本留学时购买中国进口鱼类的经历，并指出日本国产产品因民族自信而价格昂贵。</t>
        </is>
      </c>
      <c r="D40" s="11" t="n">
        <v>24.4</v>
      </c>
      <c r="E40" t="inlineStr">
        <is>
          <t>5319/841</t>
        </is>
      </c>
    </row>
    <row r="41" ht="13.5" customHeight="1" s="10">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c r="C41" s="4" t="inlineStr">
        <is>
          <t># 青春记忆与游戏文化分享会
青春记忆与游戏文化分享会
会议要点：本次会议围绕18岁以前的深刻印象和记忆展开分享，涵盖逃课、网吧游戏、追星、乐队、小说漫画等经历。发言人1回忆初中走读时每周一下午4点放学后去游戏厅、网吧玩穿越火线、CS online等游戏，高中因高考压力不敢逃课，转而追星、搞乐队，喜欢朋克金属音乐；发言人5提到喜欢郭敬明小说，发言人2认为其小说扭曲，发言人4提到流行看柯南和老夫子，发言人5提到萌化三国，发言人2提到意林读者和故事会。；在电脑游戏讨论中，发言人4提到摩尔庄园、赛尔号，发言人1提到劲舞团，发言人2提到穿越火线、地下城与勇士，发言人1提到单机游戏求生之路，发言人5提到仙剑四，发言人2提到魔兽争霸，发言人5提到英雄联盟和DOTA的鄙视链，发言人2认为王者荣耀在鄙视链底端。；关于第一人称射击游戏与暴力，发言人1分享自己因骂穿越火线被平台封禁，成为CS铁杆粉丝，喜欢僵尸模式；发言人5质疑游戏暴力且无年龄限制，发言人1解释求生之路第二部血腥暴力，Steam账号需18岁以上注册，并详细讲述求生之路剧情，认为制作团队精准预测美国政府疫情表现，导致疫情后游戏重新火爆；发言人2提到欧洲玩家喜欢打僵尸游戏，发言人1提到生化危机。；在游戏与电影关系讨论中，发言人2询问游戏和电影先后，发言人1回答生化危机先有游戏后有电影，求生之路先有电影后有游戏；发言人4提到变形金刚先有玩具，发言人1补充绿日乐队出过MV。
（生成可能有误）</t>
        </is>
      </c>
      <c r="D41" s="11" t="n">
        <v>33.1</v>
      </c>
      <c r="E41" t="inlineStr">
        <is>
          <t>6453/624</t>
        </is>
      </c>
    </row>
    <row r="42" ht="13.5" customHeight="1" s="10">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c r="C42" s="4" t="inlineStr">
        <is>
          <t># 讨论议题与背景
本次会议围绕《红楼梦》《金瓶梅》《水浒传》《西游记》等古典小说的情节、人物、版本差异及历史背景展开闲聊式讨论。与会者谈及《红楼梦》中四大家族（贾、史、王、薛）的兴衰与官场暗线，王熙凤地位与其娘家官场沉浮相关，四大家族整体走下坡路；并提及冷香丸的制作需对应各节气雨水、小雪等，以及江南吃螃蟹的讲究。讨论《金瓶梅》与《水浒传》的关系，指出西门庆在《水浒传》中被武松所杀，而在《金瓶梅》中因重病而亡；武松报仇线在《金瓶梅》中被压制，西门庆作为小人物在官场发迹，有十个老婆，其中潘金莲最有心机。另讨论《西游记》中佛教虚伪的体现，如如来佛祖收300两黄金、寺院住持贪图袈裟自焚等情节。关于历史背景，与会者认为《红楼梦》无明确朝代，可能映射曹雪芹经历，且因是禁书而不写明朝代；《金瓶梅》与《水浒传》为北宋时期。会议无明确决策，仅提出若干未决问题。
# 发言要点
发言人3（梦婷）提出《红楼梦》中存在官场暗线，四大家族兴衰与朝堂变化相关，王熙凤地位及结局与其兄长在官场的地位相关，并提及冷香丸制作需对应各节气雨水、小雪等。发言人4对四大家族人数提出疑问，认为每家仅两三人，感觉不厉害；发言人3回应薛宝钗家是做生意的，有钱但无靠山。发言人1补充四大家族诗句：贾家“白玉为堂金作马”，史家“阿房宫三百里，住不下金陵一个史”，王家“东海缺少白玉床，龙王来请金陵王”，薛家“丰年好大雪，珍珠如土金如铁”。发言人4回忆小时候看《红楼梦》对吃螃蟹的讲究印象深刻。关于《金瓶梅》，发言人1指出其与《水浒传》的差异：武松报仇时西门庆在楼上喝茶，仆人报信后翻窗逃走，武松被发配，报仇线被压制；西门庆作为小人物在官场发迹，有十个老婆，潘金莲最有心机。发言人3补充西门庆有老婆因迷信和尚而病亡，并提及书中佛教收灯油钱。发言人2询问西门庆结局，发言人3称在《金瓶梅》中因重病而亡，与《水浒传》中被杀不同。发言人2提出《水浒传》与《金瓶梅》为北宋时期，与《红楼梦》不同；发言人3指出《红楼梦》无明确朝代，是禁书，可能映射曹雪芹经历。发言人2还提及孙权二宫之争中王夫人与孙鲁班搅乱东吴政局，但未深入。
# 共识形成
与会者就《红楼梦》四大家族兴衰与官场暗线达成共识，认为四大家族整体走下坡路，王熙凤地位与娘家官场相关。关于《金瓶梅》，一致认为其与《水浒传》为平行故事线，西门庆在《金瓶梅》中因重病而亡，武松报仇线被压制，西门庆作为小人物在官场发迹。关于历史背景，共识为《红楼梦》无明确朝代，可能映射曹雪芹经历，且因是禁书而不写明朝代；《金瓶梅》与《水浒传》为北宋时期。
# 未决事项与分工
未决问题包括：《金瓶梅》中西门庆的结局具体如何；《红楼梦》是否映射曹雪芹经历；孙权二宫之争的具体细节。后续任务分工未提及。</t>
        </is>
      </c>
      <c r="D42" s="11" t="n">
        <v>31.2</v>
      </c>
      <c r="E42" t="inlineStr">
        <is>
          <t>5893/1148</t>
        </is>
      </c>
    </row>
    <row r="43" ht="13.5" customHeight="1" s="10">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c r="C43" s="4" t="inlineStr">
        <is>
          <t># 全文摘要
本次会议前半段为闲聊，涉及个人阅读习惯、综艺喜好、专业背景（数学、统计、软件工程、俄语）及洗发水使用等生活话题。后半段转向日本现代化转型主题的播客录制安排，计划采用中英混播形式，讨论人员分工（如八爪鱼、小辉等）和场地安排（三楼会议室）。
## 闲聊话题
- 讨论个人阅读习惯、综艺喜好、专业背景（俄语、数学、软件工程）及洗发水使用等生活话题。
- 未提及
## 日本现代化转型播客录制安排
- 计划录制关于日本现代化转型的播客，涉及中英混播形式，讨论人员分工（如八爪鱼、小辉等）和场地安排（三楼会议室）。</t>
        </is>
      </c>
      <c r="D43" s="11" t="n">
        <v>17.4</v>
      </c>
      <c r="E43" t="inlineStr">
        <is>
          <t>5310/259</t>
        </is>
      </c>
    </row>
    <row r="44" ht="13.5" customHeight="1" s="10">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c r="C44" s="4" t="inlineStr">
        <is>
          <t># 朝鲜战争历史讲解与答疑纪要
朝鲜战争历史讲解与答疑纪要
会议要点：本次会议围绕朝鲜战争历史展开，主讲人从朝鲜半岛分裂讲起，涵盖1945年美苏分占、三八线形成、1950年朝鲜战争爆发、各方称谓、主要战役（仁川登陆、长津湖、第三次战役等）、停战协定及战后边界变化。；主讲人阐述朝鲜战争对中国国际地位的影响，提及越南战争中北纬十七度线警告，以及美国称其为'被遗忘的战争'，克拉克将军承认未胜利签署停战协议。；主讲人解释朝鲜半岛分裂原因是意识形态不同导致建立两个国家，并分析当前朝韩关系、中俄朝关系及图们江问题，评价韩军战斗力，解释中国出兵朝鲜原因。
（生成可能有误）</t>
        </is>
      </c>
      <c r="D44" s="11" t="n">
        <v>29.1</v>
      </c>
      <c r="E44" t="inlineStr">
        <is>
          <t>7464/282</t>
        </is>
      </c>
    </row>
    <row r="45" ht="13.5" customHeight="1" s="10">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c r="C45" s="4" t="inlineStr">
        <is>
          <t># 对话概况
本次会议为一场围绕出门必带物品的闲聊，场景为通用日常对话，共五位发言人参与。发言人2提出出门必带手机、充电宝、指甲刀，并解释指甲刀用于刮指甲、磨手掌等；发言人1强调必须带钥匙，并提到家中使用指纹锁；发言人4提到带皮圈绑头发；发言人2提到上班必带充电宝、手机、刮胡刀，平均每三天带一次；发言人5提到每天带手机、耳机和工卡；发言人3提到带纸巾和伞。讨论延伸至头发打理与个人形象，发言人2认为披发显头小，发言人3建议弄公分；发言人2分享曾想留长发大胡子的梦想，但因打理困难放弃。随后讨论北京下雨季节，发言人4认为夏天易下雨，发言人1认为无季节性；发言人3提到园区门口积水及李博家被淹，发言人2建议住三楼以上。会议无明确结论。
# 交流内容
话题一：出门必带物品。发言人2提出出门必带手机、充电宝、指甲刀，并解释指甲刀用途：'指甲刀是多重指甲刀，比如说还有那个刮刮指甲呀，然后磨摸手掌啊什么的。'发言人1强调必须带钥匙，并提到家中使用指纹锁：'我家那个门是那个指纹锁的。'发言人4提到带皮圈绑头发：'我一定会带一个那个皮圈就绑头发的。'发言人2提到上班必带充电宝、手机、刮胡刀，平均每三天带一次：'上班必带三件套，充电宝、手机、刮胡刀。'发言人5提到每天带手机、耳机和工卡：'我现在每天就是手机、耳机和工卡。'发言人3提到带纸巾和伞。话题二：头发打理与个人形象。发言人2认为披发显头小：'我要是姑娘的话，我肯定得把头发披着，显得自己脑袋小一点。'发言人3建议弄公分：'弄个公分两边都补点点小点。'发言人2分享曾想留长发大胡子的梦想，但因打理困难放弃：'后来发现留胡子不太好打理还是算的，然后那个头发更不好打理，我就打消这样的想法和念头了。'话题三：下雨季节与居住安全。发言人4认为北京夏天易下雨：'我觉得北京是夏天能易下雨的。'发言人1认为无季节性：'北京倒是下雨很少，也没个季节性。'发言人3提到园区门口积水及李博家被淹：'每年的下雨，都那个园区门口都是水。李博还之前不是还就是开幕的那个地方还被淹了吗？'发言人2建议住三楼以上：'还是得远离，三楼以下还是得三楼以上？那么住着。'
# 共识与分歧
共识：多位发言人认同出门必带物品因人而异，且均分享个人习惯；发言人2与发言人1均认为钥匙或电子锁替代钥匙是常见做法；发言人2与发言人3均认为长发打理困难。分歧：关于下雨季节，发言人4认为北京夏天易下雨，发言人1认为无季节性；关于头发绑与披的观感，发言人2认为披发显头小，发言人1认为绑发不如散发好看。未解决的分歧：初中男生为什么喜欢薅女生头发圈、为什么秋天容易下雨，均无定论。
# 后续规划</t>
        </is>
      </c>
      <c r="D45" s="11" t="n">
        <v>25.8</v>
      </c>
      <c r="E45" t="inlineStr">
        <is>
          <t>3851/1101</t>
        </is>
      </c>
    </row>
    <row r="46" ht="13.5" customHeight="1" s="10">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c r="C46" s="4" t="inlineStr">
        <is>
          <t># 手机常用APP与音乐偏好闲聊
手机常用APP与音乐偏好闲聊
会议要点：本次会议围绕手机常用APP及音乐偏好展开闲聊。与会者分别提及常用APP：发言人2常用知乎、小红书、谷歌；发言人3常用微信、抖音、淘宝、京东；发言人4常用微信、小红书；发言人5常用B站、YouTube。大家提到AI助手如小布、豆包、百度千问等，认为AI助手更全面精准，但发言人2表示不信任AI，仍用浏览器和纸质地图。；在视频与播放器方面，发言人3提到腾讯视频、爱奇艺、优酷、芒果TV等，发言人2抱怨广告时间长，用B站直接看；发言人5提到单框架手机无法下载YouTube；发言人1发现国内付费剧在YouTube免费，但发言人2指出小网站可免费看，因平台大有版权纠纷需付费。音乐方面，发言人5常用网易云，但单框架手机不适配，用卓翼通；发言人2以前用酷狗、酷我，提到欧美音乐平台虾扎；发言人1用苹果音乐。听歌时间包括上班、通勤、地铁等，发言人2提到柏林地铁安静听歌有代入感。；歌手与乐队偏好方面，发言人3提到喜欢谢霆锋，提到Taylor Swift；发言人1认为五月天以前好，新发唱不上去了；发言人2疑惑Taylor Swift为何重新火起来，提到中学时期（2010年代）火过，因绯闻消沉，现在对九零后和零零后都有影响；发言人4认为她全球影响力大。
（生成可能有误）</t>
        </is>
      </c>
      <c r="D46" s="11" t="n">
        <v>29.2</v>
      </c>
      <c r="E46" t="inlineStr">
        <is>
          <t>4259/566</t>
        </is>
      </c>
    </row>
    <row r="47" ht="13.5" customHeight="1" s="10">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c r="C47" s="4" t="inlineStr">
        <is>
          <t># 讲座概况
本次讲座围绕2022年俄乌战争以来俄军战场表现展开讨论，主讲人及机构未明确提及。发言人1提出俄军传统钢铁洪流印象与2022年实际表现形成反差，基辅未被占领，俄军被击退；发言人3提及腐败、国防部长问题；发言人4认为俄军被动时战斗力强，主动进攻表现差。发言人1分析普京信息茧房、情报经费贪污、基层官兵误以为演习、民兵自发抵抗导致闪电战变持久战。讨论还涉及游戏与媒体中的俄军形象、俄军战斗力与战争形态、乌克兰地缘战略与欧洲认知，并延伸至俄罗斯历史文化与旅游见闻。
# 核心观点与论证
讲座按逻辑结构逐层展开。首先，发言人1提出俄军传统钢铁洪流印象与2022年实际表现反差，基辅未被占领，俄军被击退，并分析原因：普京活在自己信息茧房，情报官员贪污策反乌克兰官员经费，基层官兵误以为演习，民兵自发抵抗导致闪电战变持久战。其次，讨论游戏与媒体中的俄军形象，发言人4指出西方主导游戏，苏联形象多为反面，如红警将共产主义思想扭曲为心灵控制器。再次，发言人1总结俄军单兵素质强但后勤指挥拉垮，比喻为矮脚巨人；发言人4认为俄乌战场与二战相比进步有限，仅多无人机，双方重装备耗尽，转为战壕手雷和无人机互炸，形容为菜鸡互啄。最后，发言人1阐述乌克兰为欧洲之门，欧洲视俄罗斯为亚洲半兽人，因蒙古统治历史不被接纳，欧洲支援乌克兰以阻挡俄罗斯。
# 金句总结
发言人1："俄军单兵素质很厉害，但是总体就很拉垮，主要后勤和指挥上，矮脚巨人的感觉，就像柯基，腿特别短，支撑不起庞大的身子。"（背景：总结俄军在俄乌战争中的表现，强调单兵与整体反差）
发言人1："从一种钢铁洪流变成了最后的菜鸡互啄。"（背景：描述双方重装备耗尽后，战场转为战壕手雷和无人机互炸的形态）
发言人1："没有乌克兰的俄罗斯帝国终究只是沦为边缘亚洲国家。"（背景：阐述乌克兰对俄罗斯的地缘战略意义，欧洲视乌克兰为欧洲之门）
# Q&amp;A 环节
问：游戏里俄军是什么印象？
答：发言人4指出西方主导游戏，苏联形象多为反面，很猛、很变态，研究邪乎武器，规模夸张；发言人1补充红警将共产主义思想扭曲为心灵控制器，把毛子形容为暴力美学形象代言。
问：俄罗斯东西部差异大吗？
答：发言人1表示总的来说以俄罗斯族为主，俄国东扩像美国西进，源源不断淘金移民。</t>
        </is>
      </c>
      <c r="D47" s="11" t="n">
        <v>37.2</v>
      </c>
      <c r="E47" t="inlineStr">
        <is>
          <t>6103/950</t>
        </is>
      </c>
    </row>
    <row r="48" ht="13.5" customHeight="1" s="10">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c r="C48" s="4" t="inlineStr">
        <is>
          <t># 讲座概况
会议围绕电影《南京照相馆》展开讨论，由发言人1主导介绍历史背景。发言人3看过抖音切片，发言人4看过电影，印象是灾难电影，老弱妇孺存活，地下室场景；发言人2觉得深刻好看；发言人5因题材不习惯未看。发言人1介绍1937年8月13日八一三淞沪抗战后，国军从上海撤退，日军追击至南京，因缺乏军纪约束导致南京大屠杀。电影主要人物虚构，但照片拍摄真实，实际由美国传教士拍摄，中国冲洗人员偷拷并提交军事法庭作为证据；电影中中华门战斗、挹江门惨案、战犯审判为真实历史。发言人2提到沈阳伪满洲国博物馆、唐山大地震纪念馆参观人多需预约；发言人3提到上海抗战纪念馆人多，南京大屠杀纪念馆难抢；发言人4多年前去过。
# 核心观点与论证
发言人1首先介绍历史背景：1937年8月13日八一三淞沪抗战，国军与日军在上海激战，因实力原因撤退，日军追击至南京。更深层原因是自1931年九一八事变以来，日军占领东北、华北均未遭遇成规模抵抗，八一三淞沪抗战是日军首次遭受迎头痛击，伤亡惨重，加上长达四个月战斗，日军缺乏军纪约束，攻破南京后导致南京大屠杀。电影中主要人物虚构，但照片拍摄真实，实际由两名美国传教士拍摄日军暴行，同时期中国冲洗照片人员无意发现后偷偷拷贝，抗战后提交国民政府军事法庭作为审判日本战犯证据。电影中中华门城墙战斗、挹江门撤退惨案、战犯审判（谷寿夫、第六师团师团长等被枪决）均为真实历史。发言人1还分析日军暴行原因：日军遭受前所未有的侮辱及战场应激创伤，结合日本屠城传统、高压武士道精神，以及指挥官更换——松井石根因病被替换，朝香宫鸠彦亲王上任后发布不留俘虏命令，导致军纪失控。
# 金句总结
发言人1指出：“从他们当时那样的心态来说，觉得遭受了一种前所未有的侮辱，以及在战场上的一种应激创伤反应。”此句关联日军在南京暴行的心理动因。另一金句：“攻破了敌方的城镇，都要以屠城来进行自己那种狂欢与麻痹。”此句解释日军屠城的历史传统。
# Q&amp;A 环节
问：电影里面虚构的，它里面有一个日本的军方关系叫什么？就是主角一度好像和他建立一次友谊吧，不知道这个是虚构的，有没有这个日本军官是不是真实？答：电影里的主要人物是虚构，但照片的拍摄是真实的，但不是以电影里所描述的方式进行的。真实历史是当时两个美国传教士拍摄日军暴行，同时期中国负责冲洗照片的人无意发现后偷偷拷贝，抗战后提交国民政府军事法庭作为审判证据。</t>
        </is>
      </c>
      <c r="D48" s="11" t="n">
        <v>33.3</v>
      </c>
      <c r="E48" t="inlineStr">
        <is>
          <t>4228/1003</t>
        </is>
      </c>
    </row>
    <row r="49" ht="13.5" customHeight="1" s="10">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c r="C49" s="4" t="inlineStr">
        <is>
          <t># 讨论议题与背景
本次会议围绕日本国家概况、文化历史阶段、社会转型、天皇制度及旅游购物等话题展开自由讨论，参会成员为发言人1和发言人2。发言人1指出日本文化缺乏原创，是外来接收的本土化改进，并列举三次转折：大化改新、明治维新、和平宪法转型，分别对应向中国、欧美、美国学习。发言人2提及民族仇恨应有一定影响，并认为日本文化对自身影响较多，同时提到喜欢漆艺、茶艺等传统文化。发言人1补充天皇在古代是吉祥物般存在，二战后麦克阿瑟迫使天皇公开露面，打破神格，推动社会转型，现在天皇无实权，类似英国、西班牙君主立宪制。发言人2提及民族性格极端源于岛国气候不稳定。发言人1还提及东京、大阪、镰仓、京都、名古屋等城市，以及秋叶原、富士山等地点和购物体验，包括奢侈品、中古店、手办等，发言人2提到化妆品、美妆。
# 发言要点
发言人1：指出日本文化缺乏原创，是外来接收的本土化改进，列举三次转折——大化改新向中国和朝鲜半岛学习，明治维新向欧美列强学习，和平宪法转型向美国看齐；补充天皇在古代是吉祥物般存在，二战后麦克阿瑟迫使天皇公开露面打破神格，现在天皇无实权，类似英国、西班牙君主立宪制；提及东京、大阪、镰仓、京都、名古屋等城市，以及秋叶原、富士山等地点和购物体验，包括奢侈品、中古店、手办等。发言人2：提及民族仇恨应有一定影响，认为日本文化对自身影响较多，提到喜欢漆艺、茶艺等传统文化；认为日本民族性格极端源于岛国气候不稳定；提到化妆品、美妆。观点交锋点：发言人1强调日本文化是外来接收的本土化改进，发言人2则更关注日本文化对自身的影响和民族性格成因。
# 共识形成
小组未形成明确的统一意见或解决方案，讨论停留在自由交流层面。发言者就日本文化历史阶段、天皇制度、旅游购物等话题分享了个人印象和知识，但未达成具体共识或产出。
# 未决事项与分工
未提及需进一步探讨的问题及后续任务分工。</t>
        </is>
      </c>
      <c r="D49" s="11" t="n">
        <v>29.9</v>
      </c>
      <c r="E49" t="inlineStr">
        <is>
          <t>4892/791</t>
        </is>
      </c>
    </row>
    <row r="50" ht="13.5" customHeight="1" s="10">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c r="C50" s="4" t="inlineStr">
        <is>
          <t># 三国与红楼梦文学讨论纪要
三国与红楼梦文学讨论纪要
会议要点：会议围绕三国演义与红楼梦展开文学讨论。三国部分，发言人2表示三国未看完，诸葛亮去世后便不再看，印象最深刻章节为赤壁，阵营偏好受演义影响倾向蜀汉。发言人1补充正史后续：姜维北伐、孙权二宫之争、邓艾偷渡阴平、姜维反间计、刘禅投降、西晋灭吴。发言人1分析刘备称汉中王引发连锁反应，包括吕蒙白衣渡江、夷陵惨败；正史中刘备借荆州不还，孙权派兵夺荆南三郡，后湘水划界；鲁肃与关羽单刀赴会，被演义美化为关云长单刀赴会；白衣渡江被指突破底线，吕蒙后世印象不佳；陆逊因二宫之争被孙权逼死，东吴大都督结局多不佳；魏延正史无谋反，但烧栈道行为与谋反无异。发言人5讲述三顾茅庐与隆中对，发言人1分析隆中对在白衣渡江后失效，诸葛亮北伐目标为凉州，因马谡失街亭失败，后期北伐为绝望抗争。；红楼梦部分，发言人4提出多角度解读，讨论前八十回与后四十回作者差异，高鹗续写版本合理性。第五回判词预示结局，探春、史湘云结局为猜测。晴雯为林黛玉替身，袭人像薛宝钗。晴雯之死为曹雪芹原作。讨论林黛玉、薛宝钗影射明朝清朝的说法，秦可卿被解读为前朝公主。高鹗后四十回被选为官方结尾，因其总体合理且基于残稿梳理。
（生成可能有误）</t>
        </is>
      </c>
      <c r="D50" s="11" t="n">
        <v>41.2</v>
      </c>
      <c r="E50" t="inlineStr">
        <is>
          <t>6453/524</t>
        </is>
      </c>
    </row>
    <row r="51" ht="13.5" customHeight="1" s="10">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c r="C51" s="4" t="inlineStr">
        <is>
          <t># 讨论议题与背景
会议围绕三国赤壁之战、合肥之战、火烧连营等战役展开讨论，从兵法和战法角度分析各方军事特点与将领能力。成员包括发言人1、发言人2、发言人3，核心探讨问题包括赤壁之战的影响、孙权北伐合肥的失败、火烧连营的经过，以及对关羽、张飞、黄忠、五子良将等武将能力的评价。
# 发言要点
发言人1认为赤壁之战并非曹军实力不济，而是骑兵无法打水战；东吴擅长水战但陆战弱，在合肥之战中失利。发言人2表示小时候认为孙权厉害，长大后看法反转，认为其战绩不佳。发言人3补充孙权在孙策刚死时也曾被刘表等势力击败，几万人被几千人追着打。关于武将能力，发言人1认为关羽阵中斩将改变战局，张飞长坂坡，黄忠斩夏侯渊；发言人3提到关羽水淹七军，并认为刘备汉中之战打得还行。
# 共识形成
会议达成共识：赤壁之战体现双方各自优势与局限，曹军败于缺乏水军，东吴败于陆战能力弱；孙权一生未能攻克合肥，合肥之战成为其军事生涯败笔；刘备因体恤士兵在密林扎营，被陆逊火攻连营七百里，逃回白帝城。
# 未决事项与分工
未提及</t>
        </is>
      </c>
      <c r="D51" s="11" t="n">
        <v>20.7</v>
      </c>
      <c r="E51" t="inlineStr">
        <is>
          <t>4899/449</t>
        </is>
      </c>
    </row>
    <row r="52" ht="13.5" customHeight="1" s="10">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c r="C52" s="4" t="inlineStr">
        <is>
          <t># 讲座概况
本次研讨会围绕1979年至1989年苏联入侵阿富汗的苏阿战争展开，主讲人系统介绍了阿富汗的地理位置、历史背景、苏联出兵原因、战争过程及各方援助情况。阿富汗地处亚洲中部，东接中国，北邻塔吉克斯坦，南接巴基斯坦、伊朗，被称为亚洲的中间走廊地带，是兵家必争之地；其国土百分之九十为高原山地，易守难攻，历史上多次获得“帝国坟场”称号。主讲人详细讲述了苏联出兵的过程：1979年12月24日平安夜，苏联以兵变政变形式，借口阿富汗请求救援，从东部、中部、西部（塔吉克斯坦、土库曼斯坦方向）分路推进，一夜之间控制喀布尔，处决阿明一家，扶植代理人卡尔迈勒上台，将阿富汗纳入苏联阵营。此举招致阿拉伯国家、中国及西方盟国共同不满，各方合力援助阿富汗抵抗组织，阿富汗和穆斯林国家出动兵源，中国和西方盟国提供武器与情报资源，支持阿富汗进行长达十年的游击战争，最终苏联于1989年撤军。问答环节中，主讲人解答了听众关于阿富汗战略价值、石油资源、圣战者含义及帝国坟场原因等问题。
# 核心观点与论证
主讲人首先阐述阿富汗的地理位置与战略价值：地处亚洲中部，东接中国，北邻塔吉克斯坦，南接巴基斯坦、伊朗，被称为“亚洲的中间走廊地带”，是兵家必争之地；其国土百分之九十为高原山地，易守难攻，历史上多次获得“帝国坟场”称号。接着介绍战前背景：20世纪50年代，阿富汗同时与苏联及西方国家保持友好，实行君主立宪制，精英阶层奉行亲英与亲苏两头政策，文化上师从英国，国家建设与工业方面向苏联看齐；基辛格评价当时的国王阿明“用苏联的火柴点美国的香烟”，两边要好处。苏联因阿明不满其干涉内政、过度导向美国，担心阿富汗脱离掌控影响中亚地区，遂决定武力介入。1979年12月24日平安夜，苏联以兵变政变形式，借口阿富汗请求救援，从东部、中部、西部（塔吉克斯坦、土库曼斯坦方向）分路推进，一夜控制喀布尔，处决阿明一家，扶植代理人卡尔迈勒上台。此举招致阿拉伯国家、中国及西方盟国共同不满，各方合力援助阿富汗抵抗组织：阿富汗和穆斯林国家出动兵源，中国和西方盟国提供武器与情报资源，支持阿富汗进行长达十年的游击战争。主讲人分析阿富汗难打的原因：百分之九十的高原山地地形适合游击战，乡村由部落长老控制，政府无法有效统治；中国曾教授地道战、地雷战等战法，美国援助了毒刺导弹等单兵武器，有效压制苏联武装直升机；苏联基层官兵普遍厌战，士气低落，最终于1989年撤军。
# 金句总结
“谁控制了阿富汗，谁就控制住了亚洲的咽喉。”——主讲人回答听众关于阿富汗战略价值的问题时指出，地理位置是列强争夺阿富汗的根本原因。
“它是用的苏联的火柴在点的美国的香烟。”——主讲人引用基辛格对阿富汗国王阿明的评价，说明阿富汗在苏联与西方之间两头要好处、左右逢源的“墙头草”状态。
“苏联的军事实力看似庞大，但实际上它的武器发挥不了任何的作用。”——主讲人总结苏联在阿富汗的困境，指出其重装部队在高原山地无法形成有效战斗力。
# Q&amp;A 环节
问：阿富汗到底有啥好呀？为啥都想打它？
答：地理位置的原因，因为谁控制了阿富汗，谁就控制住了亚洲的咽喉。
问：是不是阿富汗有石油啊？
答：它这个国家相对来说是个贫油国，但它周边的国家都是富油国，比如说是西边的伊朗，北边的土库曼斯坦和塔吉克斯坦。
问：之前看阿富汗那边把那个部队叫什么圣战者，这个是什么意思？
答：就是狂烈的激进的伊斯兰圣战思想，以及从上到下那种宗教式洗脑，导致其阿富汗圣战者具备像二战时期日本军国主义荼毒之下的日本军民那样，不顾一切地抱着同归于尽的思想进行圣战。
问：为什么阿富汗这个位置这么难打？
答：因为这个国家百分之九十都是处于高原山地地带，就是一个天然的游击战地区。除了喀布尔和坎大哈那几个主要城市以外，剩下大部分百分之九十的地区都是乡村部落长老制，政府没有任何控制力，各个村落与部落各自为政，导致任何列强以及阿富汗的城市政府都无法对广大高原山地地区形成有力控制。</t>
        </is>
      </c>
      <c r="D52" s="11" t="n">
        <v>29.2</v>
      </c>
      <c r="E52" t="inlineStr">
        <is>
          <t>3129/1635</t>
        </is>
      </c>
    </row>
    <row r="53" ht="13.5" customHeight="1" s="10">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c r="C53" s="4" t="inlineStr">
        <is>
          <t># 讨论议题与背景
本次会议为一场关于各国文学的闲聊，成员包括发言人1、发言人2、发言人3和发言人4。讨论从日本小说《白夜行》谈起，发言人1认为其叙事手法新颖、结局阴暗，发言人2引用《菊与刀》说明日本性格特点。随后比较了法国、俄国、英国、美国文学的特点，涉及雨果、契诃夫、托尔斯泰、马克·吐温等作家，探讨底层描写、理想主义、讽刺性等主题。发言者还延伸讨论了《西游记》狮驼岭章节的黑暗描写及其对佛教虚伪的批判，并联系西藏历史。最后因时间关系结束，未形成正式决策。
# 发言要点
发言人1认为《白夜行》叙事手法新颖，结局阴暗，并指出法国文学具有抗争精神，英国文学多写贵族与穷人的鸿沟，底层人将希望寄托于宗教。发言人2引用《菊与刀》说明日本性格，认为法国文学体现浪漫理想主义，俄国文学更侧重对人性丑恶的揭露与批判，讽刺性更强，并详细解读《西游记》狮驼岭章节，批判佛教虚伪，联系西藏历史。发言人4认为法国文学比英国文学更多描绘底层民众，俄国文学戏剧性更明显。发言人3主要参与提问和附和。分歧点在于法国与俄国文学对底层民众描绘的生动性，以及各国文学特点的侧重点。
# 共识形成
小组未形成统一意见或解决方案，讨论以分享观点为主。**关键产出**为对各国文学特点的比较，包括法国文学的抗争精神与理想主义、俄国文学的讽刺性、英国文学的贵族与底层对比、美国文学的现代性，以及对《西游记》狮驼岭章节的批判性解读。
# 未决事项与分工
未提及需进一步探讨的问题或后续任务分工。</t>
        </is>
      </c>
      <c r="D53" s="11" t="n">
        <v>20.5</v>
      </c>
      <c r="E53" t="inlineStr">
        <is>
          <t>5886/631</t>
        </is>
      </c>
    </row>
    <row r="54" ht="13.5" customHeight="1" s="10">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c r="C54" t="inlineStr">
        <is>
          <t># 全文摘要
会议围绕手机图库项目进展、排期与潜在风险展开。产品侧推进智能分类和相册推荐改版，高保真原型V1.5版已调整网格视图交互与长按微动效，测试反馈低端机掉帧，已与开发沟通降低预览图缩放级别；用户反馈隐私相册入口太深，决定上提至首部顶部二级菜单，产品出交互方案评审。开发侧同步多项技术优化：AI识别V2模型准确率提升88%，但单次请求耗时从800ms涨至1.5s，决定采用本地缓存策略，开发1下午拉分支改逻辑，预计三天联调完；端侧预过滤方案可行，需评估模型体积和端侧推理开销。云同步弱网下状态机紊乱，队列积压超一千张时部分机型OOM崩溃，采用分片加载方案每次拉五十张，后台同步权限申请大概率下不了，进度不能拖。缩略图渲染采用新解码库，内存占用降30%，主流机型帧率稳定60帧，低端机50帧；批量删除照片时数据库锁死，临时规避方案先稳住，正式修复排进V1.2迭代。时间轴滑动到老照片卡死三秒以上，采用本地索引预加载，预加载放主线程IO池，同步放子线程后台服务，需用户授权媒体和存储权限，产品设计引导弹窗。里程碑按原定计划月底封版，内测包暂定下周三发，拉体验官群重点跑AI分类和同步模块；非核心UI微调往后排，资源给到管线重构和AI标签优化；开发2评估管线重构工作量，今天下班前发；开发1排联调时间，尽量周五前跑通主干流程；周四性能压测需拿达标数据。
## 产品交互迭代与用户反馈
- 产品侧推进智能分类和相册推荐改版，高保真原型V1.5版调整网格视图交互和长按微动效。测试反馈低端机掉帧，已与开发沟通降低预览图缩放级别。用户反馈隐私相册入口太深，决定上提至首部顶部二级菜单，产品出交互方案评审。
- 掉帧问题需抓紧，下周进入性能压测。
## 技术实现与性能优化
- AI识别V2模型准确率提升88%，但单次请求耗时从800ms涨至1.5s，采用本地缓存策略，开发1下午拉分支改逻辑，预计三天联调完；端侧预过滤方案可行，需评估模型体积和端侧推理开销。云同步弱网下状态机紊乱，队列积压超一千张时部分机型OOM崩溃，采用分片加载方案每次拉五十张，后台同步权限申请大概率下不了。缩略图渲染采用新解码库，内存占用降30%，主流机型帧率稳定60帧，低端机50帧；批量删除照片时数据库锁死，临时规避方案先稳住，正式修复排进V1.2迭代。时间轴滑动到老照片卡死三秒以上，采用本地索引预加载，预加载放主线程IO池，同步放子线程后台服务，需用户授权媒体和存储权限，产品设计引导弹窗。</t>
        </is>
      </c>
      <c r="D54" s="11" t="n">
        <v>61.8</v>
      </c>
      <c r="E54" t="inlineStr">
        <is>
          <t>3605/1033</t>
        </is>
      </c>
    </row>
    <row r="55" ht="13.5" customHeight="1" s="10">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c r="C55" t="inlineStr">
        <is>
          <t># 全文摘要
本次月度研讨会聚焦上月转化率下滑问题，明确量够但转化不够、卡在逼定和转化环节的结论。上月案场总到访320组，环比增15%，成交76套，转化率23%，较上月降1个百分点；渠道带看占比65%，自然来访35%，蓄客量3200组，认购到成交流失率18%。销冠复盘流失客户集中在价格预期和交付信心两个抗性，销售A反馈工地开放日频率不够、流程繁琐，报备审批要半天。会议确定多项动作：工地开放日标准化，定在每周三，提前两天在CRM系统推送给意向客户；逼定权益可视化，替换旧版物料，制作'权益可视化'台卡；渠道带看实名制与质量考核，下月起执行，扣减渠道积分；周末举办业主答谢会，销冠协助，销售B主抓流程，销售A负责邀约和逼定记录；专项培训全员参加，课后现场抽考，过不了加练；销控必须实时同步，CRM系统锁房，出问题直接问责；财务和法务周末轮流值班，在案场外围待命。下月目标总去化120套，比上月多50%，按人员配置和产出权重拆分：销冠28套，销售A、销售B和组长三人共50套，剩余12套作为机动和渠道攻坚储备。总监强调跟进节奏必须提速，客户不过夜，分片包干回访上周未成交的300多组客户；渠道带看质量大于数量，总监亲自沟通渠道部。
## 上月数据复盘与转化率问题分析
- 上月案场总到访320组，环比增15%，成交76套，转化率23%，较上月降1个百分点。渠道带看占比65%，自然来访35%，蓄客量3200组，认购到成交流失率18%。销冠复盘流失客户集中在价格预期和交付信心两个抗性。销售A反馈工地开放日频率不够，流程繁琐，报备审批要半天。结论为量够但转化不够，卡在逼定和转化环节，需提升自主拓客和案场拦截能力。
- 工地开放日标准化，定在每周三，提前两天在CRM系统推送给意向客户。逼定权益可视化，替换旧版物料，制作'权益可视化'台卡。渠道带看实名制与质量考核，下月起执行，扣减渠道积分。周末举办业主答谢会，销冠协助，销售B主抓流程，销售A负责邀约和逼定记录。专项培训全员参加，课后现场抽考，过不了加练。销控必须实时同步，CRM系统锁房，出问题直接问责。财务和法务周末轮流值班，在案场外围待命。
## 下月目标分解与专项培训
- 集团下月目标总去化120套，比上月多50%。组长按人员配置和产出权重拆分：销冠28套，销售A、销售B和组长三人共50套，剩余12套作为机动和渠道攻坚储备。总监安排两次专项演练：'竞品对比与抗性化解'和'逼定时机与谈判心理学'，每人必须参加，课后现场抽考，过不了加练。组长安排签到和考核表，结果挂钩下周绩效系数。</t>
        </is>
      </c>
      <c r="D55" s="11" t="n">
        <v>60.4</v>
      </c>
      <c r="E55" t="inlineStr">
        <is>
          <t>4211/1070</t>
        </is>
      </c>
    </row>
    <row r="56" ht="13.5" customHeight="1" s="10">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c r="C56" t="inlineStr">
        <is>
          <t># 全文摘要
会议围绕ASR模型迭代进度、线上推理延迟和长音频卡死问题展开，确认了流式RNN-T混合架构、2秒切分方案、VAD阈值消融、热修复版本、监控面板及CI评估流水线等多项决策，并明确了各负责人和时间节点。数据清洗流水线完成第二轮，有效语音时长占比从89%提升至94%，WER下降0.8个点；低资源语言混合边界场景存在切分毛刺，中英文切换时过渡音被吞或重复解码。计划将全纯Transformer架构改为流式RNN-T和Transformer混合形态，在20小时核心数据上训练，数据增强引入MixUp和Cut。推理侧动态Batching导致首字延迟波动150ms-300ms，计划改为静态分段加流式解码，音频按2秒切块，前端VAD预过滤，后端RNN-T增量解码，首字延迟控制在80ms以内，吞吐量120路并发；VAD阈值卡在-25dB，需平衡误切率和漏切率，计划拉线上流量回放做端到端对比。线上出现超长连续带方言口音音频导致解码器loop卡死，服务器节点重启；默认max steps 2048，超时5秒，但解码序列超阈值时未优雅降级，报OOM；RNN-T attention权重震荡不收敛；确认加early stopping机制，连续30步置信度低于0.2强制截断，下周出热修复版本上灰度。
## ASR模型迭代与数据优化
- 数据清洗流水线完成第二轮，有效语音时长占比从89%提升至94%，WER下降0.8个点；低资源语言混合边界场景存在切分毛刺，中英文切换时过渡音被吞或重复解码。计划将全纯Transformer架构改为流式RNN-T和Transformer混合形态，在20小时核心数据上训练，数据增强引入MixUp和Cut。
- 推理侧动态Batching导致首字延迟波动150ms-300ms，计划改为静态分段加流式解码，音频按2秒切块，前端VAD预过滤，后端RNN-T增量解码，首字延迟控制在80ms以内，吞吐量120路并发；VAD阈值卡在-25dB，需平衡误切率和漏切率，计划拉线上流量回放做端到端对比。
## 长音频卡死与稳定性修复
- 线上出现超长连续带方言口音音频导致解码器loop卡死，服务器节点重启；默认max steps 2048，超时5秒，但解码序列超阈值时未优雅降级，报OOM；RNN-T attention权重震荡不收敛；确认加early stopping机制，连续30步置信度低于0.2强制截断，下周出热修复版本上灰度。</t>
        </is>
      </c>
      <c r="D56" s="11" t="n">
        <v>57.9</v>
      </c>
      <c r="E56" t="inlineStr">
        <is>
          <t>3912/1028</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9" t="inlineStr">
        <is>
          <t>相关性</t>
        </is>
      </c>
      <c r="F3" s="9" t="inlineStr">
        <is>
          <t>通顺性</t>
        </is>
      </c>
      <c r="G3" s="9" t="inlineStr">
        <is>
          <t>其它问题</t>
        </is>
      </c>
      <c r="H3" s="1" t="inlineStr">
        <is>
          <t>MOS分</t>
        </is>
      </c>
      <c r="I3" s="1" t="inlineStr">
        <is>
          <t>模板准确性</t>
        </is>
      </c>
    </row>
    <row r="4">
      <c r="B4" s="8" t="inlineStr">
        <is>
          <t>竞品对比</t>
        </is>
      </c>
      <c r="C4" s="1" t="inlineStr">
        <is>
          <t>A</t>
        </is>
      </c>
      <c r="D4" s="9">
        <f>AVERAGE(竞品对比!#REF!)</f>
        <v/>
      </c>
      <c r="E4" s="9">
        <f>AVERAGE(竞品对比!#REF!)</f>
        <v/>
      </c>
      <c r="F4" s="9">
        <f>AVERAGE(竞品对比!#REF!)</f>
        <v/>
      </c>
      <c r="G4" s="3">
        <f>COUNTIF(竞品对比!#REF!,-5)/COUNTIF(竞品对比!#REF!,"&lt;&gt;")</f>
        <v/>
      </c>
      <c r="H4" s="9">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9">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2026-09-16T09:18:46Z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