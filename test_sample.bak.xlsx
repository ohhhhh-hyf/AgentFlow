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32"/>
  <workbookPr/>
  <mc:AlternateContent xmlns:mc="http://schemas.openxmlformats.org/markup-compatibility/2006">
    <mc:Choice Requires="x15">
      <x15ac:absPath xmlns:x15ac="http://schemas.microsoft.com/office/spreadsheetml/2010/11/ac" url="C:\Users\h00984725\Documents\NetSarang Computer\8\Xftp\Temporary\"/>
    </mc:Choice>
  </mc:AlternateContent>
  <xr:revisionPtr revIDLastSave="0" documentId="13_ncr:1_{B03A4B99-F8B8-4506-B53D-741ECCB7E440}" xr6:coauthVersionLast="47" xr6:coauthVersionMax="47" xr10:uidLastSave="{00000000-0000-0000-0000-000000000000}"/>
  <bookViews>
    <workbookView xWindow="390" yWindow="390" windowWidth="21600" windowHeight="13545" xr2:uid="{00000000-000D-0000-FFFF-FFFF00000000}"/>
  </bookViews>
  <sheets>
    <sheet name="竞品对比" sheetId="1" r:id="rId1"/>
    <sheet name="指标统计" sheetId="7" state="hidden"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8" i="7" l="1"/>
  <c r="H4" i="7"/>
  <c r="G4" i="7"/>
  <c r="F4" i="7"/>
  <c r="E4" i="7"/>
  <c r="D4" i="7"/>
</calcChain>
</file>

<file path=xl/sharedStrings.xml><?xml version="1.0" encoding="utf-8"?>
<sst xmlns="http://schemas.openxmlformats.org/spreadsheetml/2006/main" count="124" uniqueCount="91">
  <si>
    <t>准确性</t>
  </si>
  <si>
    <t>相关性</t>
  </si>
  <si>
    <t>通顺性</t>
  </si>
  <si>
    <t>其它问题</t>
  </si>
  <si>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</si>
  <si>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</si>
  <si>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</si>
  <si>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</si>
  <si>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</si>
  <si>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</si>
  <si>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</si>
  <si>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</si>
  <si>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</si>
  <si>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</si>
  <si>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</si>
  <si>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</si>
  <si>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</si>
  <si>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</si>
  <si>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</si>
  <si>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</si>
  <si>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</si>
  <si>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</si>
  <si>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</si>
  <si>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</si>
  <si>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</si>
  <si>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</si>
  <si>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</si>
  <si>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</si>
  <si>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</si>
  <si>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</si>
  <si>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</si>
  <si>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</si>
  <si>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</si>
  <si>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</si>
  <si>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</si>
  <si>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</si>
  <si>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</si>
  <si>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</si>
  <si>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</si>
  <si>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</si>
  <si>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</si>
  <si>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</si>
  <si>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</si>
  <si>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</si>
  <si>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</si>
  <si>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</si>
  <si>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</si>
  <si>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</si>
  <si>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</si>
  <si>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</si>
  <si>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</si>
  <si>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</si>
  <si>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</si>
  <si>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</si>
  <si>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</si>
  <si>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</si>
  <si>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</si>
  <si>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</si>
  <si>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</si>
  <si>
    <t>MOS分</t>
  </si>
  <si>
    <t>模板准确性</t>
  </si>
  <si>
    <t>竞品对比</t>
  </si>
  <si>
    <t>A</t>
  </si>
  <si>
    <t>B</t>
  </si>
  <si>
    <t>C</t>
  </si>
  <si>
    <t>自定义模板</t>
  </si>
  <si>
    <t>智能识别</t>
  </si>
  <si>
    <t>新闻发布</t>
    <phoneticPr fontId="4" type="noConversion"/>
  </si>
  <si>
    <t>沟通交流会</t>
    <phoneticPr fontId="4" type="noConversion"/>
  </si>
  <si>
    <t>总结复盘会</t>
    <phoneticPr fontId="4" type="noConversion"/>
  </si>
  <si>
    <t>通用纪要</t>
    <phoneticPr fontId="4" type="noConversion"/>
  </si>
  <si>
    <t>工作研讨会</t>
    <phoneticPr fontId="4" type="noConversion"/>
  </si>
  <si>
    <t>庭审记录</t>
    <phoneticPr fontId="4" type="noConversion"/>
  </si>
  <si>
    <t>项目进度会</t>
    <phoneticPr fontId="4" type="noConversion"/>
  </si>
  <si>
    <t>课堂记录</t>
    <phoneticPr fontId="4" type="noConversion"/>
  </si>
  <si>
    <t>知识笔记</t>
    <phoneticPr fontId="4" type="noConversion"/>
  </si>
  <si>
    <t>采访记录</t>
    <phoneticPr fontId="4" type="noConversion"/>
  </si>
  <si>
    <t>就医咨询</t>
    <phoneticPr fontId="4" type="noConversion"/>
  </si>
  <si>
    <t>面试报告</t>
    <phoneticPr fontId="4" type="noConversion"/>
  </si>
  <si>
    <t>参观游览</t>
    <phoneticPr fontId="4" type="noConversion"/>
  </si>
  <si>
    <t>调研访谈</t>
    <phoneticPr fontId="4" type="noConversion"/>
  </si>
  <si>
    <t>家校沟通</t>
    <phoneticPr fontId="4" type="noConversion"/>
  </si>
  <si>
    <t>团队例会</t>
    <phoneticPr fontId="4" type="noConversion"/>
  </si>
  <si>
    <t>专题讲座</t>
    <phoneticPr fontId="4" type="noConversion"/>
  </si>
  <si>
    <t>辩论会</t>
    <phoneticPr fontId="4" type="noConversion"/>
  </si>
  <si>
    <t>产品发布</t>
    <phoneticPr fontId="4" type="noConversion"/>
  </si>
  <si>
    <t>政府报告</t>
    <phoneticPr fontId="4" type="noConversion"/>
  </si>
  <si>
    <t>小组讨论</t>
    <phoneticPr fontId="4" type="noConversion"/>
  </si>
  <si>
    <t>对话记录</t>
    <phoneticPr fontId="4" type="noConversion"/>
  </si>
  <si>
    <t>文本</t>
    <phoneticPr fontId="4" type="noConversion"/>
  </si>
  <si>
    <t>场景</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</si>
</sst>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宋体"/>
      <charset val="134"/>
      <scheme val="minor"/>
    </font>
    <font>
      <sz val="10"/>
      <color rgb="FF000000"/>
      <name val="微软雅黑"/>
      <family val="2"/>
      <charset val="134"/>
    </font>
    <font>
      <sz val="11"/>
      <color rgb="FF000000"/>
      <name val="宋体"/>
      <family val="3"/>
      <charset val="134"/>
    </font>
    <font>
      <sz val="10"/>
      <color theme="1"/>
      <name val="微软雅黑"/>
      <family val="2"/>
      <charset val="134"/>
    </font>
    <font>
      <sz val="9"/>
      <name val="宋体"/>
      <family val="3"/>
      <charset val="134"/>
      <scheme val="minor"/>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lignment vertical="center"/>
    </xf>
  </cellStyleXfs>
  <cellXfs count="9">
    <xf numFmtId="0" fontId="0" fillId="0" borderId="0" xfId="0">
      <alignment vertical="center"/>
    </xf>
    <xf numFmtId="0" fontId="2" fillId="0" borderId="0" xfId="0" applyFont="1">
      <alignment vertical="center"/>
    </xf>
    <xf numFmtId="0" fontId="1" fillId="0" borderId="1" xfId="0" applyNumberFormat="1" applyFont="1" applyFill="1" applyBorder="1" applyAlignment="1">
      <alignment horizontal="left" vertical="center" wrapText="1"/>
    </xf>
    <xf numFmtId="10" fontId="0" fillId="0" borderId="0" xfId="0" applyNumberFormat="1">
      <alignment vertical="center"/>
    </xf>
    <xf numFmtId="0" fontId="3" fillId="0" borderId="0" xfId="0" applyFont="1" applyAlignment="1">
      <alignment vertical="center" wrapText="1"/>
    </xf>
    <xf numFmtId="0" fontId="3" fillId="0" borderId="0" xfId="0" applyFont="1" applyFill="1" applyAlignment="1">
      <alignment vertical="top" wrapText="1"/>
    </xf>
    <xf numFmtId="0" fontId="1" fillId="0" borderId="1" xfId="0" applyNumberFormat="1" applyFont="1" applyFill="1" applyBorder="1" applyAlignment="1">
      <alignment horizontal="left" vertical="top" wrapText="1"/>
    </xf>
    <xf numFmtId="0" fontId="1" fillId="0" borderId="1" xfId="0" applyFont="1" applyFill="1" applyBorder="1" applyAlignment="1">
      <alignment vertical="top" wrapText="1"/>
    </xf>
    <xf numFmtId="0" fontId="2" fillId="0" borderId="0" xfId="0" applyFont="1"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56"/>
  <sheetViews>
    <sheetView tabSelected="1" workbookViewId="0">
      <pane xSplit="1" ySplit="2" topLeftCell="B3" activePane="bottomRight" state="frozen"/>
      <selection pane="topRight"/>
      <selection pane="bottomLeft"/>
      <selection pane="bottomRight" activeCell="D13" sqref="D13"/>
    </sheetView>
  </sheetViews>
  <sheetFormatPr defaultColWidth="9" defaultRowHeight="13.5" customHeight="1" x14ac:dyDescent="0.15"/>
  <cols>
    <col min="1" max="1" width="55.375" style="5" customWidth="1"/>
    <col min="2" max="2" width="56.125" style="5" customWidth="1"/>
    <col min="3" max="3" width="9" style="5"/>
    <col min="4" max="16384" width="9" style="4"/>
  </cols>
  <sheetData>
    <row r="1" spans="1:3" ht="13.5" customHeight="1" x14ac:dyDescent="0.15">
      <c r="A1" s="5" t="s">
        <v>89</v>
      </c>
      <c r="B1" s="5" t="s">
        <v>90</v>
      </c>
    </row>
    <row r="2" spans="1:3" ht="13.5" customHeight="1" x14ac:dyDescent="0.15">
      <c r="A2" s="6" t="s">
        <v>4</v>
      </c>
      <c r="B2" s="2" t="s">
        <v>67</v>
      </c>
      <c r="C2" s="4"/>
    </row>
    <row r="3" spans="1:3" ht="13.5" customHeight="1" x14ac:dyDescent="0.15">
      <c r="A3" s="6" t="s">
        <v>5</v>
      </c>
      <c r="B3" s="2" t="s">
        <v>68</v>
      </c>
      <c r="C3" s="4"/>
    </row>
    <row r="4" spans="1:3" ht="13.5" customHeight="1" x14ac:dyDescent="0.15">
      <c r="A4" s="6" t="s">
        <v>6</v>
      </c>
      <c r="B4" s="2" t="s">
        <v>69</v>
      </c>
      <c r="C4" s="4"/>
    </row>
    <row r="5" spans="1:3" ht="13.5" customHeight="1" x14ac:dyDescent="0.15">
      <c r="A5" s="6" t="s">
        <v>7</v>
      </c>
      <c r="B5" s="2" t="s">
        <v>70</v>
      </c>
      <c r="C5" s="4"/>
    </row>
    <row r="6" spans="1:3" ht="13.5" customHeight="1" x14ac:dyDescent="0.15">
      <c r="A6" s="6" t="s">
        <v>8</v>
      </c>
      <c r="B6" s="2" t="s">
        <v>71</v>
      </c>
      <c r="C6" s="4"/>
    </row>
    <row r="7" spans="1:3" ht="13.5" customHeight="1" x14ac:dyDescent="0.15">
      <c r="A7" s="6" t="s">
        <v>9</v>
      </c>
      <c r="B7" s="2" t="s">
        <v>72</v>
      </c>
      <c r="C7" s="4"/>
    </row>
    <row r="8" spans="1:3" ht="13.5" customHeight="1" x14ac:dyDescent="0.15">
      <c r="A8" s="6" t="s">
        <v>10</v>
      </c>
      <c r="B8" s="2" t="s">
        <v>73</v>
      </c>
      <c r="C8" s="4"/>
    </row>
    <row r="9" spans="1:3" ht="13.5" customHeight="1" x14ac:dyDescent="0.15">
      <c r="A9" s="6" t="s">
        <v>11</v>
      </c>
      <c r="B9" s="2" t="s">
        <v>67</v>
      </c>
      <c r="C9" s="4"/>
    </row>
    <row r="10" spans="1:3" ht="13.5" customHeight="1" x14ac:dyDescent="0.15">
      <c r="A10" s="6" t="s">
        <v>12</v>
      </c>
      <c r="B10" s="2" t="s">
        <v>74</v>
      </c>
      <c r="C10" s="4"/>
    </row>
    <row r="11" spans="1:3" ht="13.5" customHeight="1" x14ac:dyDescent="0.15">
      <c r="A11" s="6" t="s">
        <v>13</v>
      </c>
      <c r="B11" s="2" t="s">
        <v>70</v>
      </c>
      <c r="C11" s="4"/>
    </row>
    <row r="12" spans="1:3" ht="13.5" customHeight="1" x14ac:dyDescent="0.15">
      <c r="A12" s="6" t="s">
        <v>14</v>
      </c>
      <c r="B12" s="2" t="s">
        <v>74</v>
      </c>
      <c r="C12" s="4"/>
    </row>
    <row r="13" spans="1:3" ht="13.5" customHeight="1" x14ac:dyDescent="0.15">
      <c r="A13" s="6" t="s">
        <v>15</v>
      </c>
      <c r="B13" s="2" t="s">
        <v>74</v>
      </c>
      <c r="C13" s="4"/>
    </row>
    <row r="14" spans="1:3" ht="13.5" customHeight="1" x14ac:dyDescent="0.15">
      <c r="A14" s="6" t="s">
        <v>16</v>
      </c>
      <c r="B14" s="2" t="s">
        <v>75</v>
      </c>
      <c r="C14" s="4"/>
    </row>
    <row r="15" spans="1:3" ht="13.5" customHeight="1" x14ac:dyDescent="0.15">
      <c r="A15" s="6" t="s">
        <v>17</v>
      </c>
      <c r="B15" s="2" t="s">
        <v>75</v>
      </c>
      <c r="C15" s="4"/>
    </row>
    <row r="16" spans="1:3" ht="13.5" customHeight="1" x14ac:dyDescent="0.15">
      <c r="A16" s="6" t="s">
        <v>18</v>
      </c>
      <c r="B16" s="2" t="s">
        <v>76</v>
      </c>
      <c r="C16" s="4"/>
    </row>
    <row r="17" spans="1:3" ht="13.5" customHeight="1" x14ac:dyDescent="0.15">
      <c r="A17" s="6" t="s">
        <v>19</v>
      </c>
      <c r="B17" s="2" t="s">
        <v>77</v>
      </c>
      <c r="C17" s="4"/>
    </row>
    <row r="18" spans="1:3" ht="13.5" customHeight="1" x14ac:dyDescent="0.15">
      <c r="A18" s="6" t="s">
        <v>20</v>
      </c>
      <c r="B18" s="2" t="s">
        <v>72</v>
      </c>
      <c r="C18" s="4"/>
    </row>
    <row r="19" spans="1:3" ht="13.5" customHeight="1" x14ac:dyDescent="0.15">
      <c r="A19" s="6" t="s">
        <v>21</v>
      </c>
      <c r="B19" s="2" t="s">
        <v>78</v>
      </c>
      <c r="C19" s="4"/>
    </row>
    <row r="20" spans="1:3" ht="13.5" customHeight="1" x14ac:dyDescent="0.15">
      <c r="A20" s="6" t="s">
        <v>22</v>
      </c>
      <c r="B20" s="2" t="s">
        <v>79</v>
      </c>
      <c r="C20" s="4"/>
    </row>
    <row r="21" spans="1:3" ht="13.5" customHeight="1" x14ac:dyDescent="0.15">
      <c r="A21" s="6" t="s">
        <v>23</v>
      </c>
      <c r="B21" s="2" t="s">
        <v>80</v>
      </c>
      <c r="C21" s="4"/>
    </row>
    <row r="22" spans="1:3" ht="13.5" customHeight="1" x14ac:dyDescent="0.15">
      <c r="A22" s="6" t="s">
        <v>24</v>
      </c>
      <c r="B22" s="2" t="s">
        <v>81</v>
      </c>
      <c r="C22" s="4"/>
    </row>
    <row r="23" spans="1:3" ht="13.5" customHeight="1" x14ac:dyDescent="0.15">
      <c r="A23" s="6" t="s">
        <v>25</v>
      </c>
      <c r="B23" s="2" t="s">
        <v>82</v>
      </c>
      <c r="C23" s="4"/>
    </row>
    <row r="24" spans="1:3" ht="13.5" customHeight="1" x14ac:dyDescent="0.15">
      <c r="A24" s="6" t="s">
        <v>26</v>
      </c>
      <c r="B24" s="2" t="s">
        <v>77</v>
      </c>
      <c r="C24" s="4"/>
    </row>
    <row r="25" spans="1:3" ht="13.5" customHeight="1" x14ac:dyDescent="0.15">
      <c r="A25" s="6" t="s">
        <v>27</v>
      </c>
      <c r="B25" s="2" t="s">
        <v>83</v>
      </c>
      <c r="C25" s="4"/>
    </row>
    <row r="26" spans="1:3" ht="13.5" customHeight="1" x14ac:dyDescent="0.15">
      <c r="A26" s="6" t="s">
        <v>28</v>
      </c>
      <c r="B26" s="2" t="s">
        <v>84</v>
      </c>
      <c r="C26" s="4"/>
    </row>
    <row r="27" spans="1:3" ht="13.5" customHeight="1" x14ac:dyDescent="0.15">
      <c r="A27" s="6" t="s">
        <v>29</v>
      </c>
      <c r="B27" s="2" t="s">
        <v>77</v>
      </c>
      <c r="C27" s="4"/>
    </row>
    <row r="28" spans="1:3" ht="13.5" customHeight="1" x14ac:dyDescent="0.15">
      <c r="A28" s="6" t="s">
        <v>30</v>
      </c>
      <c r="B28" s="2" t="s">
        <v>85</v>
      </c>
      <c r="C28" s="4"/>
    </row>
    <row r="29" spans="1:3" ht="13.5" customHeight="1" x14ac:dyDescent="0.15">
      <c r="A29" s="6" t="s">
        <v>31</v>
      </c>
      <c r="B29" s="2" t="s">
        <v>70</v>
      </c>
      <c r="C29" s="4"/>
    </row>
    <row r="30" spans="1:3" ht="13.5" customHeight="1" x14ac:dyDescent="0.15">
      <c r="A30" s="6" t="s">
        <v>32</v>
      </c>
      <c r="B30" s="2" t="s">
        <v>86</v>
      </c>
      <c r="C30" s="4"/>
    </row>
    <row r="31" spans="1:3" ht="13.5" customHeight="1" x14ac:dyDescent="0.15">
      <c r="A31" s="6" t="s">
        <v>33</v>
      </c>
      <c r="B31" s="2" t="s">
        <v>68</v>
      </c>
      <c r="C31" s="4"/>
    </row>
    <row r="32" spans="1:3" ht="13.5" customHeight="1" x14ac:dyDescent="0.15">
      <c r="A32" s="6" t="s">
        <v>34</v>
      </c>
      <c r="B32" s="2" t="s">
        <v>74</v>
      </c>
      <c r="C32" s="4"/>
    </row>
    <row r="33" spans="1:3" ht="13.5" customHeight="1" x14ac:dyDescent="0.15">
      <c r="A33" s="6" t="s">
        <v>35</v>
      </c>
      <c r="B33" s="2" t="s">
        <v>86</v>
      </c>
      <c r="C33" s="4"/>
    </row>
    <row r="34" spans="1:3" ht="13.5" customHeight="1" x14ac:dyDescent="0.15">
      <c r="A34" s="6" t="s">
        <v>36</v>
      </c>
      <c r="B34" s="2" t="s">
        <v>70</v>
      </c>
      <c r="C34" s="4"/>
    </row>
    <row r="35" spans="1:3" ht="13.5" customHeight="1" x14ac:dyDescent="0.15">
      <c r="A35" s="6" t="s">
        <v>37</v>
      </c>
      <c r="B35" s="2" t="s">
        <v>83</v>
      </c>
      <c r="C35" s="4"/>
    </row>
    <row r="36" spans="1:3" ht="13.5" customHeight="1" x14ac:dyDescent="0.15">
      <c r="A36" s="6" t="s">
        <v>38</v>
      </c>
      <c r="B36" s="2" t="s">
        <v>76</v>
      </c>
      <c r="C36" s="4"/>
    </row>
    <row r="37" spans="1:3" ht="13.5" customHeight="1" x14ac:dyDescent="0.15">
      <c r="A37" s="6" t="s">
        <v>39</v>
      </c>
      <c r="B37" s="2" t="s">
        <v>76</v>
      </c>
      <c r="C37" s="4"/>
    </row>
    <row r="38" spans="1:3" ht="13.5" customHeight="1" x14ac:dyDescent="0.15">
      <c r="A38" s="6" t="s">
        <v>40</v>
      </c>
      <c r="B38" s="2" t="s">
        <v>83</v>
      </c>
      <c r="C38" s="4"/>
    </row>
    <row r="39" spans="1:3" ht="13.5" customHeight="1" x14ac:dyDescent="0.15">
      <c r="A39" s="6" t="s">
        <v>41</v>
      </c>
      <c r="B39" s="2" t="s">
        <v>70</v>
      </c>
      <c r="C39" s="4"/>
    </row>
    <row r="40" spans="1:3" ht="13.5" customHeight="1" x14ac:dyDescent="0.15">
      <c r="A40" s="6" t="s">
        <v>42</v>
      </c>
      <c r="B40" s="2" t="s">
        <v>70</v>
      </c>
      <c r="C40" s="4"/>
    </row>
    <row r="41" spans="1:3" ht="13.5" customHeight="1" x14ac:dyDescent="0.15">
      <c r="A41" s="6" t="s">
        <v>43</v>
      </c>
      <c r="B41" s="2" t="s">
        <v>87</v>
      </c>
      <c r="C41" s="4"/>
    </row>
    <row r="42" spans="1:3" ht="13.5" customHeight="1" x14ac:dyDescent="0.15">
      <c r="A42" s="6" t="s">
        <v>44</v>
      </c>
      <c r="B42" s="2" t="s">
        <v>87</v>
      </c>
      <c r="C42" s="4"/>
    </row>
    <row r="43" spans="1:3" ht="13.5" customHeight="1" x14ac:dyDescent="0.15">
      <c r="A43" s="6" t="s">
        <v>45</v>
      </c>
      <c r="B43" s="2" t="s">
        <v>70</v>
      </c>
      <c r="C43" s="4"/>
    </row>
    <row r="44" spans="1:3" ht="13.5" customHeight="1" x14ac:dyDescent="0.15">
      <c r="A44" s="6" t="s">
        <v>46</v>
      </c>
      <c r="B44" s="2" t="s">
        <v>83</v>
      </c>
      <c r="C44" s="4"/>
    </row>
    <row r="45" spans="1:3" ht="13.5" customHeight="1" x14ac:dyDescent="0.15">
      <c r="A45" s="6" t="s">
        <v>47</v>
      </c>
      <c r="B45" s="2" t="s">
        <v>88</v>
      </c>
      <c r="C45" s="4"/>
    </row>
    <row r="46" spans="1:3" ht="13.5" customHeight="1" x14ac:dyDescent="0.15">
      <c r="A46" s="6" t="s">
        <v>48</v>
      </c>
      <c r="B46" s="2" t="s">
        <v>87</v>
      </c>
      <c r="C46" s="4"/>
    </row>
    <row r="47" spans="1:3" ht="13.5" customHeight="1" x14ac:dyDescent="0.15">
      <c r="A47" s="6" t="s">
        <v>49</v>
      </c>
      <c r="B47" s="2" t="s">
        <v>83</v>
      </c>
      <c r="C47" s="4"/>
    </row>
    <row r="48" spans="1:3" ht="13.5" customHeight="1" x14ac:dyDescent="0.15">
      <c r="A48" s="6" t="s">
        <v>50</v>
      </c>
      <c r="B48" s="2" t="s">
        <v>83</v>
      </c>
      <c r="C48" s="4"/>
    </row>
    <row r="49" spans="1:3" ht="13.5" customHeight="1" x14ac:dyDescent="0.15">
      <c r="A49" s="6" t="s">
        <v>51</v>
      </c>
      <c r="B49" s="2" t="s">
        <v>87</v>
      </c>
      <c r="C49" s="4"/>
    </row>
    <row r="50" spans="1:3" ht="13.5" customHeight="1" x14ac:dyDescent="0.15">
      <c r="A50" s="6" t="s">
        <v>52</v>
      </c>
      <c r="B50" s="2" t="s">
        <v>87</v>
      </c>
      <c r="C50" s="4"/>
    </row>
    <row r="51" spans="1:3" ht="13.5" customHeight="1" x14ac:dyDescent="0.15">
      <c r="A51" s="6" t="s">
        <v>53</v>
      </c>
      <c r="B51" s="2" t="s">
        <v>87</v>
      </c>
      <c r="C51" s="4"/>
    </row>
    <row r="52" spans="1:3" ht="13.5" customHeight="1" x14ac:dyDescent="0.15">
      <c r="A52" s="6" t="s">
        <v>54</v>
      </c>
      <c r="B52" s="2" t="s">
        <v>83</v>
      </c>
      <c r="C52" s="4"/>
    </row>
    <row r="53" spans="1:3" ht="13.5" customHeight="1" x14ac:dyDescent="0.15">
      <c r="A53" s="6" t="s">
        <v>55</v>
      </c>
      <c r="B53" s="2" t="s">
        <v>87</v>
      </c>
      <c r="C53" s="4"/>
    </row>
    <row r="54" spans="1:3" ht="13.5" customHeight="1" x14ac:dyDescent="0.15">
      <c r="A54" s="7" t="s">
        <v>56</v>
      </c>
      <c r="B54" s="7" t="s">
        <v>70</v>
      </c>
    </row>
    <row r="55" spans="1:3" ht="13.5" customHeight="1" x14ac:dyDescent="0.15">
      <c r="A55" s="7" t="s">
        <v>57</v>
      </c>
      <c r="B55" s="7" t="s">
        <v>70</v>
      </c>
    </row>
    <row r="56" spans="1:3" ht="13.5" customHeight="1" x14ac:dyDescent="0.15">
      <c r="A56" s="7" t="s">
        <v>58</v>
      </c>
      <c r="B56" s="7" t="s">
        <v>70</v>
      </c>
    </row>
  </sheetData>
  <sheetProtection formatCells="0" insertHyperlinks="0" autoFilter="0"/>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3:I8"/>
  <sheetViews>
    <sheetView workbookViewId="0">
      <selection activeCell="B4" sqref="B4:B6"/>
    </sheetView>
  </sheetViews>
  <sheetFormatPr defaultColWidth="9" defaultRowHeight="13.5" x14ac:dyDescent="0.15"/>
  <sheetData>
    <row r="3" spans="2:9" x14ac:dyDescent="0.15">
      <c r="D3" s="1" t="s">
        <v>0</v>
      </c>
      <c r="E3" t="s">
        <v>1</v>
      </c>
      <c r="F3" t="s">
        <v>2</v>
      </c>
      <c r="G3" t="s">
        <v>3</v>
      </c>
      <c r="H3" s="1" t="s">
        <v>59</v>
      </c>
      <c r="I3" s="1" t="s">
        <v>60</v>
      </c>
    </row>
    <row r="4" spans="2:9" x14ac:dyDescent="0.15">
      <c r="B4" s="8" t="s">
        <v>61</v>
      </c>
      <c r="C4" s="1" t="s">
        <v>62</v>
      </c>
      <c r="D4" t="e">
        <f>AVERAGE(竞品对比!#REF!)</f>
        <v>#REF!</v>
      </c>
      <c r="E4" t="e">
        <f>AVERAGE(竞品对比!#REF!)</f>
        <v>#REF!</v>
      </c>
      <c r="F4" t="e">
        <f>AVERAGE(竞品对比!#REF!)</f>
        <v>#REF!</v>
      </c>
      <c r="G4" s="3" t="e">
        <f>COUNTIF(竞品对比!#REF!,-5)/COUNTIF(竞品对比!#REF!,"&lt;&gt;")</f>
        <v>#REF!</v>
      </c>
      <c r="H4" t="e">
        <f>AVERAGE((竞品对比!#REF!+竞品对比!#REF!+竞品对比!#REF!)/3+竞品对比!#REF!)</f>
        <v>#REF!</v>
      </c>
    </row>
    <row r="5" spans="2:9" x14ac:dyDescent="0.15">
      <c r="B5" s="8"/>
      <c r="C5" s="1" t="s">
        <v>63</v>
      </c>
      <c r="G5" s="3"/>
    </row>
    <row r="6" spans="2:9" x14ac:dyDescent="0.15">
      <c r="B6" s="8"/>
      <c r="C6" s="1" t="s">
        <v>64</v>
      </c>
      <c r="G6" s="3"/>
    </row>
    <row r="7" spans="2:9" x14ac:dyDescent="0.15">
      <c r="B7" s="1" t="s">
        <v>65</v>
      </c>
    </row>
    <row r="8" spans="2:9" x14ac:dyDescent="0.15">
      <c r="B8" s="1" t="s">
        <v>66</v>
      </c>
      <c r="I8" t="e">
        <f>COUNTIF(#REF!,“可用”)</f>
        <v>#REF!</v>
      </c>
    </row>
  </sheetData>
  <sheetProtection formatCells="0" insertHyperlinks="0" autoFilter="0"/>
  <mergeCells count="1">
    <mergeCell ref="B4:B6"/>
  </mergeCells>
  <phoneticPr fontId="4" type="noConversion"/>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autofilters xmlns="https://web.wps.cn/et/2018/main">
  <sheetItem sheetStid="1">
    <filterData filterID="AK20210901JXNSXO8261057">
      <hiddenRange rowFrom="1" rowTo="9"/>
      <hiddenRange rowFrom="11" rowTo="22"/>
      <hiddenRange rowFrom="24" rowTo="35"/>
      <hiddenRange rowFrom="37" rowTo="48"/>
      <hiddenRange rowFrom="50" rowTo="55"/>
    </filterData>
    <filterData filterID="AK20210901JXNSXO15104038">
      <hiddenRange rowFrom="1" rowTo="1"/>
      <hiddenRange rowFrom="3" rowTo="3"/>
      <hiddenRange rowFrom="5" rowTo="14"/>
      <hiddenRange rowFrom="16" rowTo="16"/>
      <hiddenRange rowFrom="18" rowTo="27"/>
      <hiddenRange rowFrom="29" rowTo="29"/>
      <hiddenRange rowFrom="31" rowTo="40"/>
      <hiddenRange rowFrom="42" rowTo="42"/>
      <hiddenRange rowFrom="44" rowTo="53"/>
      <hiddenRange rowFrom="55" rowTo="56"/>
    </filterData>
    <filterData filterID="AK20210901JXNSXO2962640"/>
    <filterData filterID="AK20210901JXNSXO16551897"/>
    <filterData filterID="AK20210901JXNSXO14573183"/>
    <filterData filterID="AK20210901JXNSXO14760968"/>
    <filterData filterID="AK20210901JXNSXO16981454"/>
    <filterData filterID="AK20210901JXNSXO15978846">
      <hiddenRange rowFrom="1" rowTo="12"/>
      <hiddenRange rowFrom="14" rowTo="25"/>
      <hiddenRange rowFrom="27" rowTo="38"/>
      <hiddenRange rowFrom="40" rowTo="51"/>
      <hiddenRange rowFrom="53" rowTo="55"/>
    </filterData>
    <filterData filterID="AK20210901JXNSXO12102127">
      <hiddenRange rowFrom="1" rowTo="10"/>
      <hiddenRange rowFrom="12" rowTo="23"/>
      <hiddenRange rowFrom="25" rowTo="36"/>
      <hiddenRange rowFrom="38" rowTo="49"/>
      <hiddenRange rowFrom="51" rowTo="55"/>
    </filterData>
    <filterData filterID="AK20210901JXNSXO17933749">
      <hiddenRange rowFrom="5" rowTo="5"/>
      <hiddenRange rowFrom="15" rowTo="15"/>
      <hiddenRange rowFrom="17" rowTo="18"/>
      <hiddenRange rowFrom="28" rowTo="28"/>
      <hiddenRange rowFrom="30" rowTo="31"/>
      <hiddenRange rowFrom="41" rowTo="41"/>
      <hiddenRange rowFrom="43" rowTo="44"/>
      <hiddenRange rowFrom="54" rowTo="54"/>
    </filterData>
    <filterData filterID="AK20210901JXNSXO18734464">
      <hiddenRange rowFrom="1" rowTo="4"/>
      <hiddenRange rowFrom="6" rowTo="7"/>
      <hiddenRange rowFrom="9" rowTo="17"/>
      <hiddenRange rowFrom="19" rowTo="20"/>
      <hiddenRange rowFrom="22" rowTo="30"/>
      <hiddenRange rowFrom="32" rowTo="33"/>
      <hiddenRange rowFrom="35" rowTo="43"/>
      <hiddenRange rowFrom="45" rowTo="46"/>
      <hiddenRange rowFrom="48" rowTo="55"/>
    </filterData>
    <autofilterInfo filterID="AK20210901JXNSXO14573183">
      <autoFilter xmlns="http://schemas.openxmlformats.org/spreadsheetml/2006/main" ref="A1:AC57"/>
    </autofilterInfo>
    <autofilterInfo filterID="AK20210901JXNSXO16551897">
      <autoFilter xmlns="http://schemas.openxmlformats.org/spreadsheetml/2006/main" ref="A1:AC57"/>
    </autofilterInfo>
    <autofilterInfo filterID="AK20210901JXNSXO16981454">
      <autoFilter xmlns="http://schemas.openxmlformats.org/spreadsheetml/2006/main" ref="A1:AC57"/>
    </autofilterInfo>
    <autofilterInfo filterID="AK20210901JXNSXO14760968">
      <autoFilter xmlns="http://schemas.openxmlformats.org/spreadsheetml/2006/main" ref="A1:AC57"/>
    </autofilterInfo>
    <autofilterInfo filterID="AK20210901JXNSXO15104038">
      <autoFilter xmlns="http://schemas.openxmlformats.org/spreadsheetml/2006/main" ref="A1:AC57">
        <filterColumn colId="1">
          <customFilters>
            <customFilter operator="equal" val="段功宸"/>
            <customFilter operator="equal" val="江涛"/>
          </customFilters>
        </filterColumn>
      </autoFilter>
    </autofilterInfo>
    <autofilterInfo filterID="AK20210901JXNSXO2962640">
      <autoFilter xmlns="http://schemas.openxmlformats.org/spreadsheetml/2006/main" ref="A1:AC57"/>
    </autofilterInfo>
    <autofilterInfo filterID="AK20210901JXNSXO17933749">
      <autoFilter xmlns="http://schemas.openxmlformats.org/spreadsheetml/2006/main" ref="A1:AC57">
        <filterColumn colId="4">
          <filters>
            <filter val="1"/>
            <filter val="2"/>
            <filter val="3"/>
            <filter val="4"/>
            <filter val="5"/>
            <filter val="3.5"/>
            <filter val="4.5"/>
          </filters>
        </filterColumn>
        <filterColumn colId="11">
          <filters>
            <filter val="2"/>
            <filter val="3"/>
            <filter val="4"/>
            <filter val="5"/>
            <filter val="3.5"/>
            <filter val="4.5"/>
          </filters>
        </filterColumn>
      </autoFilter>
    </autofilterInfo>
    <autofilterInfo filterID="AK20210901JXNSXO18734464">
      <autoFilter xmlns="http://schemas.openxmlformats.org/spreadsheetml/2006/main" ref="A1:AC57">
        <filterColumn colId="1">
          <customFilters>
            <customFilter operator="equal" val="李腾飞"/>
            <customFilter operator="equal" val="石晓华"/>
          </customFilters>
        </filterColumn>
      </autoFilter>
    </autofilterInfo>
    <autofilterInfo filterID="AK20210901JXNSXO12102127">
      <autoFilter xmlns="http://schemas.openxmlformats.org/spreadsheetml/2006/main" ref="A1:AC57">
        <filterColumn colId="1">
          <customFilters>
            <customFilter operator="equal" val="余瑞芳"/>
          </customFilters>
        </filterColumn>
      </autoFilter>
    </autofilterInfo>
    <autofilterInfo filterID="AK20210901JXNSXO15978846">
      <autoFilter xmlns="http://schemas.openxmlformats.org/spreadsheetml/2006/main" ref="A1:AC57">
        <filterColumn colId="1">
          <customFilters>
            <customFilter operator="equal" val="钟婉婷"/>
          </customFilters>
        </filterColumn>
      </autoFilter>
    </autofilterInfo>
    <autofilterInfo filterID="AK20210901JXNSXO8261057">
      <autoFilter xmlns="http://schemas.openxmlformats.org/spreadsheetml/2006/main" ref="A1:AC57">
        <filterColumn colId="1">
          <customFilters>
            <customFilter operator="equal" val="武思华"/>
          </customFilters>
        </filterColumn>
      </autoFilter>
    </autofilterInfo>
  </sheetItem>
  <sheetItem sheetStid="4">
    <filterData filterID="AK20210901JXNSXO8261057">
      <hiddenRange rowFrom="1" rowTo="9"/>
      <hiddenRange rowFrom="11" rowTo="22"/>
      <hiddenRange rowFrom="24" rowTo="35"/>
      <hiddenRange rowFrom="37" rowTo="48"/>
      <hiddenRange rowFrom="50" rowTo="61"/>
      <hiddenRange rowFrom="63" rowTo="74"/>
      <hiddenRange rowFrom="76" rowTo="81"/>
      <hiddenRange rowFrom="83" rowTo="84"/>
    </filterData>
    <filterData filterID="AK20210901JXNSXO15104038">
      <hiddenRange rowFrom="1" rowTo="1"/>
      <hiddenRange rowFrom="3" rowTo="3"/>
      <hiddenRange rowFrom="5" rowTo="14"/>
      <hiddenRange rowFrom="16" rowTo="16"/>
      <hiddenRange rowFrom="18" rowTo="27"/>
      <hiddenRange rowFrom="29" rowTo="29"/>
      <hiddenRange rowFrom="31" rowTo="40"/>
      <hiddenRange rowFrom="42" rowTo="42"/>
      <hiddenRange rowFrom="44" rowTo="53"/>
      <hiddenRange rowFrom="55" rowTo="55"/>
      <hiddenRange rowFrom="57" rowTo="66"/>
      <hiddenRange rowFrom="68" rowTo="68"/>
      <hiddenRange rowFrom="70" rowTo="85"/>
    </filterData>
    <filterData filterID="AK20210901JXNSXO14573183">
      <hiddenRange rowFrom="1" rowTo="5"/>
      <hiddenRange rowFrom="7" rowTo="18"/>
      <hiddenRange rowFrom="20" rowTo="31"/>
      <hiddenRange rowFrom="33" rowTo="44"/>
      <hiddenRange rowFrom="46" rowTo="57"/>
      <hiddenRange rowFrom="59" rowTo="70"/>
      <hiddenRange rowFrom="72" rowTo="84"/>
    </filterData>
    <filterData filterID="AK20210901JXNSXO16551897">
      <hiddenRange rowFrom="1" rowTo="8"/>
      <hiddenRange rowFrom="10" rowTo="21"/>
      <hiddenRange rowFrom="23" rowTo="34"/>
      <hiddenRange rowFrom="36" rowTo="47"/>
      <hiddenRange rowFrom="49" rowTo="60"/>
      <hiddenRange rowFrom="62" rowTo="73"/>
      <hiddenRange rowFrom="75" rowTo="80"/>
      <hiddenRange rowFrom="82" rowTo="84"/>
    </filterData>
    <filterData filterID="AK20210901JXNSXO17933749"/>
    <filterData filterID="AK20210901JXNSXO18734464"/>
    <filterData filterID="AK20210901JXNSXO14760968">
      <hiddenRange rowFrom="1" rowTo="11"/>
      <hiddenRange rowFrom="13" rowTo="24"/>
      <hiddenRange rowFrom="26" rowTo="37"/>
      <hiddenRange rowFrom="39" rowTo="50"/>
      <hiddenRange rowFrom="52" rowTo="63"/>
      <hiddenRange rowFrom="65" rowTo="76"/>
      <hiddenRange rowFrom="78" rowTo="82"/>
      <hiddenRange rowFrom="84" rowTo="84"/>
    </filterData>
    <filterData filterID="AK20210901JXNSXO16981454"/>
    <filterData filterID="AK20210901JXNSXO12102127">
      <hiddenRange rowFrom="1" rowTo="10"/>
      <hiddenRange rowFrom="12" rowTo="23"/>
      <hiddenRange rowFrom="25" rowTo="36"/>
      <hiddenRange rowFrom="38" rowTo="49"/>
      <hiddenRange rowFrom="51" rowTo="62"/>
      <hiddenRange rowFrom="64" rowTo="75"/>
      <hiddenRange rowFrom="77" rowTo="84"/>
    </filterData>
    <filterData filterID="AK20210901JXNSXO15978846">
      <hiddenRange rowFrom="1" rowTo="12"/>
      <hiddenRange rowFrom="14" rowTo="25"/>
      <hiddenRange rowFrom="27" rowTo="38"/>
      <hiddenRange rowFrom="40" rowTo="51"/>
      <hiddenRange rowFrom="53" rowTo="64"/>
      <hiddenRange rowFrom="66" rowTo="77"/>
      <hiddenRange rowFrom="79" rowTo="83"/>
    </filterData>
    <autofilterInfo filterID="AK20210901JXNSXO15104038">
      <autoFilter xmlns="http://schemas.openxmlformats.org/spreadsheetml/2006/main" ref="A1:I86">
        <filterColumn colId="1">
          <customFilters>
            <customFilter operator="equal" val="段功宸"/>
            <customFilter operator="equal" val="江涛"/>
          </customFilters>
        </filterColumn>
      </autoFilter>
    </autofilterInfo>
    <autofilterInfo filterID="AK20210901JXNSXO16551897">
      <autoFilter xmlns="http://schemas.openxmlformats.org/spreadsheetml/2006/main" ref="A1:I86">
        <filterColumn colId="1">
          <customFilters>
            <customFilter operator="equal" val="王俊凯"/>
          </customFilters>
        </filterColumn>
      </autoFilter>
    </autofilterInfo>
    <autofilterInfo filterID="AK20210901JXNSXO14573183">
      <autoFilter xmlns="http://schemas.openxmlformats.org/spreadsheetml/2006/main" ref="A1:I86">
        <filterColumn colId="1">
          <customFilters>
            <customFilter operator="equal" val="潘奕利"/>
          </customFilters>
        </filterColumn>
      </autoFilter>
    </autofilterInfo>
    <autofilterInfo filterID="AK20210901JXNSXO17933749">
      <autoFilter xmlns="http://schemas.openxmlformats.org/spreadsheetml/2006/main" ref="A1:I86"/>
    </autofilterInfo>
    <autofilterInfo filterID="AK20210901JXNSXO18734464">
      <autoFilter xmlns="http://schemas.openxmlformats.org/spreadsheetml/2006/main" ref="A1:I86"/>
    </autofilterInfo>
    <autofilterInfo filterID="AK20210901JXNSXO14760968">
      <autoFilter xmlns="http://schemas.openxmlformats.org/spreadsheetml/2006/main" ref="A1:I86">
        <filterColumn colId="1">
          <customFilters>
            <customFilter operator="equal" val="翟雨实"/>
          </customFilters>
        </filterColumn>
      </autoFilter>
    </autofilterInfo>
    <autofilterInfo filterID="AK20210901JXNSXO16981454">
      <autoFilter xmlns="http://schemas.openxmlformats.org/spreadsheetml/2006/main" ref="A1:I86"/>
    </autofilterInfo>
    <autofilterInfo filterID="AK20210901JXNSXO12102127">
      <autoFilter xmlns="http://schemas.openxmlformats.org/spreadsheetml/2006/main" ref="A1:I86">
        <filterColumn colId="1">
          <customFilters>
            <customFilter operator="equal" val="余瑞芳"/>
          </customFilters>
        </filterColumn>
      </autoFilter>
    </autofilterInfo>
    <autofilterInfo filterID="AK20210901JXNSXO15978846">
      <autoFilter xmlns="http://schemas.openxmlformats.org/spreadsheetml/2006/main" ref="A1:I86">
        <filterColumn colId="1">
          <customFilters>
            <customFilter operator="equal" val="钟婉婷"/>
          </customFilters>
        </filterColumn>
      </autoFilter>
    </autofilterInfo>
    <autofilterInfo filterID="AK20210901JXNSXO8261057">
      <autoFilter xmlns="http://schemas.openxmlformats.org/spreadsheetml/2006/main" ref="A1:I86">
        <filterColumn colId="1">
          <customFilters>
            <customFilter operator="equal" val="武思华"/>
          </customFilters>
        </filterColumn>
      </autoFilter>
    </autofilterInfo>
  </sheetItem>
  <sheetItem sheetStid="3">
    <filterData filterID="AK20210901JXNSXO15104038">
      <hiddenRange rowFrom="1" rowTo="1"/>
      <hiddenRange rowFrom="3" rowTo="3"/>
      <hiddenRange rowFrom="5" rowTo="14"/>
      <hiddenRange rowFrom="16" rowTo="16"/>
      <hiddenRange rowFrom="18" rowTo="27"/>
      <hiddenRange rowFrom="29" rowTo="29"/>
      <hiddenRange rowFrom="31" rowTo="40"/>
      <hiddenRange rowFrom="42" rowTo="42"/>
      <hiddenRange rowFrom="44" rowTo="53"/>
      <hiddenRange rowFrom="55" rowTo="55"/>
      <hiddenRange rowFrom="57" rowTo="66"/>
      <hiddenRange rowFrom="68" rowTo="68"/>
      <hiddenRange rowFrom="70" rowTo="79"/>
      <hiddenRange rowFrom="81" rowTo="81"/>
      <hiddenRange rowFrom="83" rowTo="85"/>
    </filterData>
    <filterData filterID="AK20210901JXNSXO8261057"/>
    <filterData filterID="AK20210901JXNSXO14760968"/>
    <filterData filterID="AK20210901JXNSXO18734464">
      <hiddenRange rowFrom="1" rowTo="3"/>
      <hiddenRange rowFrom="5" rowTo="16"/>
      <hiddenRange rowFrom="18" rowTo="29"/>
      <hiddenRange rowFrom="31" rowTo="42"/>
      <hiddenRange rowFrom="44" rowTo="55"/>
      <hiddenRange rowFrom="57" rowTo="68"/>
      <hiddenRange rowFrom="70" rowTo="81"/>
      <hiddenRange rowFrom="83" rowTo="85"/>
    </filterData>
    <filterData filterID="AK20210901JXNSXO17933749"/>
    <filterData filterID="AK20210901JXNSXO15978846"/>
    <filterData filterID="AK20210901JXNSXO16981454"/>
    <filterData filterID="AK20210901JXNSXO12102127"/>
    <filterData filterID="AK20210901JXNSXO14573183"/>
    <filterData filterID="AK20210901JXNSXO16551897"/>
    <autofilterInfo filterID="AK20210901JXNSXO15104038">
      <autoFilter xmlns="http://schemas.openxmlformats.org/spreadsheetml/2006/main" ref="A1:L86">
        <filterColumn colId="1">
          <customFilters>
            <customFilter operator="equal" val="段功宸"/>
            <customFilter operator="equal" val="江涛"/>
          </customFilters>
        </filterColumn>
      </autoFilter>
    </autofilterInfo>
    <autofilterInfo filterID="AK20210901JXNSXO18734464">
      <autoFilter xmlns="http://schemas.openxmlformats.org/spreadsheetml/2006/main" ref="A1:L86">
        <filterColumn colId="1">
          <customFilters>
            <customFilter operator="equal" val="江涛"/>
          </customFilters>
        </filterColumn>
      </autoFilter>
    </autofilterInfo>
  </sheetItem>
  <sheetItem sheetStid="12">
    <filterData filterID="AK20210901JXNSXO17933749">
      <hiddenRange rowFrom="3" rowTo="3"/>
      <hiddenRange rowFrom="6" rowTo="9"/>
      <hiddenRange rowFrom="16" rowTo="19"/>
      <hiddenRange rowFrom="24" rowTo="28"/>
      <hiddenRange rowFrom="30" rowTo="31"/>
      <hiddenRange rowFrom="34" rowTo="39"/>
      <hiddenRange rowFrom="42" rowTo="42"/>
      <hiddenRange rowFrom="44" rowTo="47"/>
      <hiddenRange rowFrom="51" rowTo="52"/>
      <hiddenRange rowFrom="54" rowTo="57"/>
      <hiddenRange rowFrom="68" rowTo="69"/>
      <hiddenRange rowFrom="71" rowTo="71"/>
      <hiddenRange rowFrom="74" rowTo="74"/>
      <hiddenRange rowFrom="77" rowTo="81"/>
      <hiddenRange rowFrom="86" rowTo="86"/>
      <hiddenRange rowFrom="88" rowTo="91"/>
      <hiddenRange rowFrom="93" rowTo="94"/>
      <hiddenRange rowFrom="97" rowTo="103"/>
      <hiddenRange rowFrom="105" rowTo="105"/>
      <hiddenRange rowFrom="107" rowTo="110"/>
      <hiddenRange rowFrom="112" rowTo="116"/>
      <hiddenRange rowFrom="118" rowTo="118"/>
      <hiddenRange rowFrom="121" rowTo="123"/>
    </filterData>
    <autofilterInfo filterID="AK20210901JXNSXO17933749">
      <autoFilter xmlns="http://schemas.openxmlformats.org/spreadsheetml/2006/main" ref="A1:F125">
        <filterColumn colId="5">
          <filters>
            <filter val="1.1：候选人概况中&quot;面试官主要来自权哥、帅总、郑总等&quot;中&quot;郑总&quot;在原文中未明确出现，原文仅出现&quot;权哥&quot;&quot;帅总&quot;及&quot;另一个面试官&quot;，&quot;郑总&quot;为模型推测；2.1：原文中发言者4也参与了部分技术提问（如数据库优化、Nginx跨域），模型未在面试官介绍中体现其角色"/>
            <filter val="2.1:对'家庭氛围压抑'这一背景信息提炼略浅；3.1:个别标点略不规范"/>
            <filter val="识别模板为家校沟通,原文为沟通交流会但内容为家长会,家校沟通可适用但与沟通交流会模板略有偏差。2.1:对'青春期沟通'核心话题提炼略浅；3.1:个别标点略不规范"/>
            <filter val="1.1 提取错误：原文，公司写的12-17k，候选人要15K，公司最高给12，如果13候选人可接受继续后续面试&#10;2.1 细节遗漏：遗漏候选人对自动化测试缺点、动态元素定位的细节描述，做了整体总结"/>
            <filter val="1.3：摘要中“候选人自称目前是应届生身份”与原文不符，发言者2在自我介绍中明确表示“目前是22岁”，但并未自称“应届生”，而是直接以应聘者身份参与面试，且面试官也未就“应届生”身份进行追问，该表述属于实体提取错误。摘要中“性能测试（最高20万并发）”的描述存在歧义，原文中发言者2在回答“你做过最高的并发是做到多少？”时回答“最高的是最后20万”，可能是指测试中的并发用户数，但摘要未明确单位（如“20万并发用户”），表述不够精确。1.4：摘要将“职业规划表述不够清晰，最初回答‘做老板’，后改称‘踏踏实实干活’”作为风险点，但原文中面试官询问“你写的职业规划是做老板是啥意思？”时，发言者2回答“这个其实是我瞎写的，因为我目前没有什么大的规划，我就想踏踏实实干活”，该回答并非“改称”，而是对“做老板”这一规划的直接解释和澄清，摘要的因果逻辑表述不准确。2.1：摘要缺失了面试中最核心的结论性信息——面试官最终给出的“最高给到12k，15k给不到，如果13k可以接受则安排复试，否则不再考虑”这一关键薪资谈判结果，这是整场面试的实质性结论，属于全局核心遗漏.2.3：摘要中的“能力评估”表格内容多为对面试问答的概括性复述，如“能清晰描述测试用例设计规范”“掌握接口测试（正向/异常）”等，缺乏对候选人表现优劣的深入评判，且部分描述（如“沟通协作”维度）未结合具体面试互动细节，冗余约30%"/>
            <filter val="1.1：'提议学唱《水手》作为情绪调节尝试'与原文不符，原文中《水手》是来访者此前已学会的歌曲（'你上次放的水手我会唱了'），并非咨询师新提议的任务；2.1：遗漏了来访者关于欧文亚隆存在主义心理学四大终极问题（死亡、自由、孤独、无意义）的讨论内容，这是原文中较重要的哲学探讨环节；2.1：遗漏了来访者明确表达的'未来梦想当一个歌手'的具体职业向往，仅概括为'对音乐有强烈兴趣'"/>
            <filter val="2.1 核心遗漏：对于住宿的部分没有提及&#10;3.2 小标题合理性：互动与体验部分分类不合理，马队体验可以并入千问的那拉提景区介绍，美食单独作为一个分类呈现&#10;自驾部分应该单独作为一个分类"/>
            <filter val="1.2：摘要将部分受访者身份归属错误。原文中发言者2明确表示自己是“做当代艺术的”（艺术家），发言者3是“做设计的”，而摘要将其合并归为“当代艺术家/策展人”，未准确区分二人身份；发言者4并非“自由职业设计师”，原文中其称“我是做摄影的”，摘要归纳有偏差；发言者12并非“互联网平台618搞的朋友”，而是电商从业者，发言者13是与其聊工作的同行，摘要将二人合并表述为“与这位互联网平台618搞的朋友”，导致身份混淆。2.1：本次街头采访的核心主题是“深夜工作日外出的原因”，受访者的个人故事和独特回答（如“多邻国打卡1000多天”“阿森纳是冠军”“南昌路最帅调酒师之争”等）是本视频的重要看点，但摘要仅以表格形式概括职业和作息，缺失了这些富有趣味性和个性化的内容，降低了访谈摘要的可读性和传播价值"/>
            <filter val="2.1 核心遗漏：只分析了候选人的相关信息，面试结果未提及，公司方的信息也没有&#10;2.2 比例失调：对于候选人亮点和风险点的分析都抓住的不算核心矛盾"/>
            <filter val="2.1 核心遗漏：只分析了候选人的相关信息，面试结果未提及，公司方的信息也没有&#10;关于薪资、学历等关键面试信息都没有提及&#10;2.2 比例失调：对于候选人亮点和风险点的分析都抓住的不算核心矛盾"/>
            <filter val="1.1: 幻觉，摘要中'情绪反应持续时间：分手后立即产生强烈情绪，持续约1个月'，原文中来访者未明确提及分手到咨询的具体时长，仅提及'最近跟我相处5年的男朋友分手了'，'持续约1个月'为模型自行添加的具体时间数据.。2.1: 全局核心遗漏，原文咨询的核心结论为'靠时间疗愈'和'容易被情绪绑架'，摘要虽提及但未充分强调咨询师对来访者'靠时间''时间还不够'这一核心判断，以及来访者对'时间够不够'的追问（'那多久算时间够'）这一互动关键点，略有遗漏"/>
            <filter val="2.1 核心遗漏：没有介绍来访的基本背景&#10;3.2 小标题合理性：心理症状是整个核心困扰中所有部分都涉及的，不应该单拎成一个小部分&#10;情绪疏导和共情与支持有概念重叠"/>
            <filter val="2.1 核心遗漏：没有介绍来访的基本背景&#10;2.2 比例失调：对于咨询干预后来访的改善篇幅过小&#10;3.2 小标题合理性：心理支持和共情与支持有概念重叠"/>
            <filter val="2.1 核心遗漏：教师对提出问题的解决建议基本未提及&#10;2.3 冗余：家长反馈部分不需要引用家长原话&#10;3.3 分段不合理：对于解决方案的分类太多、太碎，主次结构也不清晰&#10;3.4 内容重复多次：家长反馈没有必要用两个分类提两次"/>
            <filter val="1.3：摘要中提到“提出需高薪聘请技术骨干但未明确招聘进度”，原文发言者6确实提及“高薪聘用几个作为招牌”，但同时也提到“招收新学员”，摘要仅提及聘请技术骨干，遗漏了“招收新学员”这一并列计划，属于部分实体提取不完整.1.4：摘要中“积分兑换制度（10元=1积分）及消费积分有效期管理方案”表述基本准确，但原文中积分规则由发言者1和发言者6等共同讨论，且明确消费积分每年清零、预存积分永久有效，摘要未区分两类积分，简化了逻辑细节，但未严重扭曲。2.1：全文最核心的讨论成果（开业套餐方案、会员活动、老带新机制、装修风格、积分制度等）在“进度追踪”模块中有所覆盖，但缺少对“男性休息区保留与否”、“VIP客户随行人员免费体验”等几项关键决策的明确记录，且未提炼出任何明确的最终决议或共识，例如套餐是否最终确定、装修风格是否定调等，全局核心结论缺失。2.2：摘要将原文内容结构化呈现，但部分模块（如“营销推广策略”）内容单薄，仅简单罗列，而原文中有大量关于具体套餐细节、促销活动（如398元拉新方案、进店送礼等）的详细讨论，被过度简略，导致比例失调。2.3：全文摘要中“进度追踪”表格内容多为对原文发言的概括，但部分描述仍偏列举式，例如“提出19.9元体验套餐（含...）”、“制定线上线下结合方案：...”等，保留了较多罗列细节，缺乏对核心策略的提炼，冗余约30%。"/>
            <filter val="2.1 核心遗漏：对于自驾、住宿的部分没有提及&#10;3.2 小标题合理性：与马队互动怎么会属于行程调整呢"/>
            <filter val="1.3：摘要中“投资公司于2016年5月10日提交再审答辩状时附带7份附件”表述准确，但原文中发言者1明确说明附件二、三、六、七为“不作为新证据提交，只是供法院参考”，摘要未区分哪些是证据哪些是参考资料，存在轻微实体提取不完整。2.1：摘要缺失了法庭辩论环节中最核心的法律争点——即“雇佣救助合同是否适用海商法183条按比例分摊规则”这一双方交锋最激烈的焦点，仅以表格形式简单罗列双方观点，未体现投资公司关于“人命救助应扣减50%报酬”的关键抗辩，也未体现南海救助局关于“海商法但书条款仅适用于人命酬金”的核心辩论意见，属于全局核心遗漏.2.2：摘要将大量篇幅用于罗列“证据提交情况”“质证意见”“法官询问要点”等程序性内容，而法庭辩论阶段的法律争议内核被压缩为简表，比例略有失调"/>
            <filter val="识别模板正确。2.1:对'社工与社区协调困难'细节提炼略浅；3.1:个别标点略不规范"/>
            <filter val="识别模板正确。2.1:对'线上线下融合'核心议题提炼略浅；3.1:个别标点略不规范"/>
            <filter val="识别模板正确。2.1:对面试具体问答细节提炼略浅,部分技术问题未充分呈现；3.1:个别标点略不规范"/>
            <filter val="2.1 核心遗漏：没有把问题的关键现状和解决措施列完整&#10;3.2 小标题合理性：归类业主提出的问题不应该概括为信息同步&#10;4.3 层级逻辑极其混乱：每个问题都应该按照问题现状-物业回应-解决措施的逻辑排列，现在的整个顺序是乱的"/>
            <filter val="1.1：事实错误，跨课程联合宣传是发言者1提的，摘要中写的发言者3和4&#10;2.1：细节遗漏：招生策略中缺少“先抓住孩子，再抓父母”，舞蹈班缺少对不同需求的区分"/>
            <filter val="2.1 核心遗漏：没有把当前产品类型的所有阻塞问题列出来&#10;没有把管理层对于问题处理方案的决策列出来&#10;4.3 层级逻辑极其混乱：不同产品类型的格式不一样"/>
            <filter val="1.1 幻觉：编造原文不存在的具体参数，略微严重&#10;2.1 比例失调：原文虽然归类产品发布但主要是纪录片内容，摘要侧重了产品，倒也没什么问题"/>
            <filter val="1.1：'5年测试伪装应届生'为原文标题/摘要性描述，候选人实际自述为应届生，模型未在概况中说明这一身份争议的来源（标题描述 vs 候选人自述），可能造成误解；1.3：候选人期望薪资原文仅记录为'20'，模型直接解读为'20K'，原文未明确单位，存在数值单位推断；2.1：遗漏面试官对候选人'真的是应届生吗'的质疑及候选人'可能我长得有点显老'的回应这一关键互动细节（虽在综合素质中提及但未在概况中体现）；2.1：遗漏候选人'不行，这是原则性问题'的完整语境（针对薪资20K被压低后的回应），模型在沟通协作维度仅简略提及"/>
            <filter val="2.1 细节遗漏，遗漏部分受访者观点的细节&#10;2.2 从100万到7位数（百万）不等 表述不通顺"/>
            <filter val="2.1 核心遗漏：提取金句时没头没尾的，只看截取部分不明白想表达什么&#10;3.2 小标题合理性：童年早于车祸残疾的经历怎么能属于人生选择和创作态度呢&#10;关于电影创作和对人生的理解，与第一个大分类有重叠&#10;4.3 层级逻辑极其混乱：不理解是以什么逻辑顺序呈现的，不同部分之间的界限不清晰，重叠部分也很多"/>
            <filter val="1.1: 幻觉，摘要中'改进计划'第3条'财务与人力资源部门需解决薪酬问题：优先解决员工工资拖欠问题，确保当月工资按时发放'等表述，原文总经理明确表示资金紧张，但并未承诺'确保当月工资按时发放'，而是提出'会向董事长反应资金问题'，此措辞属于过度承诺.摘要中'改进计划'第3条'建立资金使用审批绿色通道'，原文完全未提及此概念，属于凭空捏造。1.3: 实体提取错误，摘要中'酒店已拖欠员工工资达半年'，原文后勤保障部发言人5提到'半年没开工资啦'，但总经理并未确认该时长，且可能为特定部门情况，摘要将其作为全局事实陈述，存在归因偏差。1.4: 逻辑错乱，摘要中'责任推诿现象：各部门存在将问题上交推卸责任的情况'，原文仅总经理提到'别把问题甩给我'，但后勤部门发言人5明确表示已多次打报告申请资金未获批准，并非推诿而是流程受阻，摘要将其简单归为'推诿'与原文语境不符。2.1: 全局核心遗漏，会议核心为酒店停业整顿原因分析及责任追究，原文总经理强调了消防、食品、服务等多方面问题，且后勤部门回应了资金不足导致整改困难，但摘要的'改进计划'完全未提及如何协调资金短缺这一根本矛盾（总经理承认资金紧张，后勤强调无钱整改），缺失核心症结讨论。2.2: 比例失调，摘要中'改进计划'部分占篇幅较大，但原文后半部分讨论的核心'资金短缺与工资拖欠'仅在'不足事项'中一笔带过，未充分体现后勤部门对无钱整改的反驳及双方争论，重点略偏"/>
            <filter val="识别模板错误：应为'采访记录'，模型识别为'心理咨询'。原文为采访对话，受访者疑似姜思达（发言者2提及'下面请姜思达发言'），非心理咨询关系；1.1：咨询小结中'布置的家庭作业是记录一周内在不同社交场景中的自我评价内容'、'下次咨询将重点讨论如何区分自我保护与自我限制的界限'均为模型捏造，原文未提及任何家庭作业或下次咨询计划；1.1：'来访者承认通过回避社交活动可以缓解不适'与原文不符，原文是发言者1提到'通过不参加任何活动得到了全然的改变'，且这是作为歌手保护嗓子的客观原因，非回避社交的应对策略；2.1：因模板选错，未按采访记录模板（访谈概述、访谈详细记录、关键引语与金句）组织内容，遗漏了原文中具有传播价值的关键引语，如'如果没有什么关系是永恒的，你还敢投入吗？'、'如果太大声会显得我太冒进，太小声，别人会听不见'等；2.1：未识别出受访者身份（姜思达）及采访背景"/>
            <filter val="识别模板错误：应为'总结复盘会'，模型识别为'团队例会'，导致整体结构（复盘目标与结果概况、亮点事项、不足事项、改进计划）缺失；1.1：协作需求中'计划在12月中旬前完成初步沟通'、'确保宣传覆盖率达100%'为模型捏造，原文未提及具体时间节点和覆盖率指标；2.1：遗漏事故科核心数据（事故率同比下降7.5%、酒驾肇事占1%、突发事故占22.3%、车辆故障占17.5%、高峰期事故占40%多）；2.1：遗漏事故科提出的4点改进建议具体内容（加大打击惩罚力度、偏僻路口增加投入、高峰期增加人力辅助、与安全科合作）；2.1：遗漏二大队关于开发区超速、闯红灯、工程车超载等核心问题的具体分析"/>
            <filter val="2.1：遗漏了发言者1关于歌手身份与保护嗓子的内容、在朋友群聊中&quot;没有什么原因坐在那就是很想哭&quot;的具体例子、&quot;安静不是一个选择，安静是你唯一的能力&quot;等关键表述；关键引语准确无误，访谈结构清晰"/>
            <filter val="2.1:对'青春期沟通'这一核心话题提炼略浅；3.1:个别标点略不规范"/>
            <filter val="2.1:对'社工与社区协调困难'这一细节提炼略浅；3.1:个别标点略不规范"/>
            <filter val="2.1:对'线上线下融合'这一核心议题提炼略显不足；3.1:个别标点略不规范"/>
            <filter val="1.1：发布会日期&quot;2020年7月23日&quot;在原文中未明确提及，原文仅提及该日期为许某某被刑事拘留时间，模型将其作为发布会日期属推断/捏造；2.1：遗漏了许某某&quot;自1987年开始先后在绍兴、上海等地从事鱼粉和养殖生意&quot;的背景信息；整体案件时间线、侦查数据、当事人信息梳理准确完整"/>
            <filter val="1.1: 幻觉，摘要中'最终决议'部分将多个讨论中的提议直接定性为'确定'或'实施'的决议，例如'确定19.9元体验套餐'、'实施满1000元办卡政策'、'采用粉色/紫色主色调'等，但原文为多人发言的商讨场景，发言者1多次以'可以''也行'等词汇表示认可，并未明确宣布最终决议，摘要将讨论内容转化为正式决策属于过度确定性表述.1.3: 实体提取错误，摘要中'韩国冰醇小气泡'原文为'韩国冰韩韩国冰醇小气包儿'（应为'韩国冰醇小气泡'，但原文有口误），模型提取为'韩国冰醇小气泡'基本正确，但'PTD电子光疗'原文为'P T D电子光疗'，提取无大问题；但摘要将'外延排毒刮痧'写为'外延排毒刮痧'（原文为'外延排毒刮痧'）摘要中'充值500元赠100积分、充值1000元赠200积分'，原文发言人2表述为'充五百赠一百''充一千赠两百'，但发言人3提到'充三百赠一百充五百赠两百'，摘要只取部分发言者提议并未区分来源，且将'赠金额'误解为'赠积分'，原文积分与赠金为两套体系（积分按消费金额累积，赠金为充值赠送），摘要混淆。1.4: 逻辑错乱，摘要'遗留问题第5条：促销活动的时间范围（如365元/年方案的具体有效期）需确定'，原文发言人5提出365元/年方案时明确为'全年美容'，时间范围本身已明确（一年），摘要将其列为'需确定'的逻辑与实际不符。2.1: 全局核心遗漏，会议开场明确讨论议题包括'优惠政策、套餐内容、员工工资、装修风格'，摘要虽涵盖了套餐、会员、装修、积分等，但遗漏了员工工资讨论（发言人1开头提及），且对'装修风格'的讨论较简略（未提及灯具、布帘等细节）2.3: 冗余，摘要中'方案陈述'表格和'最终决议'、'遗留问题'存在大量重复内容（同一套餐、活动在多个部分重复描述），冗余内容超过30%"/>
            <filter val="1.2 事实错误：缺货的是低档烟，不是高档烟&#10;2.1 核心遗漏：工作内容部分没有囊括所有的问题&#10;没有把管理层对于问题处理方案的决策列出来"/>
            <filter val="1.2：摘要将“后勤保障部”负责人（发言者5）的强烈反驳意见简单归为“反馈”，并称其“申请资金解决工资发放问题”，但原文中发言者5明确表示“半年没开工资”、“我是没告你们”，态度激烈，摘要弱化了这种对抗性，且未体现其对总经理批评的直接反驳，属于观点提取不准确。1.3：摘要中“总经理需要各部门提交详细的整改方案和时间节点”属于捏造，原文中总经理并未提出此要求；同时，“餐饮部需要检查厨房用具安全，特别是天然气使用安全”是总经理在会议后期提出的，并非餐饮部自己反馈的计划，摘要错误地将该要求归为餐饮部的“后续计划”，属于归属错误。1.4：摘要将停业整顿的主要原因归为“消防器材过期、电路老化、食材采购及厨房安全”，但原文中总经理明确指出“主要还是一些咱们酒店内部处理的这一些问题”，涵盖消防、设备、客户投诉、员工消极怠工等多个方面，且后勤保障部负责人指出根本原因是资金短缺导致设备无法更换，摘要未准确反映这一核心因果关系，简化了复杂的责任归属。2.1：整场会议最核心的议题是总经理追责、各部门自我辩护与相互指责，以及因资金短缺导致的整改困境，但摘要完全缺失“各部门责任推诿”这一核心矛盾，也未提及总经理“该撤的撤、该降的降”等严厉表态，以及后勤保障部对资金问题的直接挑战，导致核心冲突与会议性质被严重弱化，属于全局核心遗漏。2.2：摘要将大量篇幅用于罗列各部门“问题-现状-后续计划”的表格，但这些内容多为对原文发言的机械拆分，而真正关键的互动交锋（如后勤保障部对总经理的当面反驳、餐饮部与后勤部关于食材质量的争执）被一笔带过或完全忽略，比例严重失调。2.3：摘要中的表格内容多为对原文口语的复述式概括，例如“消防通道堆放杂物、消防器材过期生锈”、“半年未发工资”等，缺乏更高层次的提炼，冗余超过50%"/>
            <filter val="1.2：摘要中“咨询师指出来访者可能存在‘撒娇’倾向”描述不够准确，原文中咨询师说的是“你别从这个世界撒娇”、“你快点哄哄我就不哄我”，是咨询师对来访者反复说“但是”这一行为的解读，并非直接指出来访者存在撒娇倾向，表述略有偏差。2.1：摘要整体覆盖了咨询的核心议题和咨询师的主要干预技术，但遗漏了部分重要细节：咨询师明确指出来访者“脑子极混乱”、“容易被情绪绑架，被感觉绑架”、“感觉不加验证”，这些对来访者思维模式的描述是咨询师做出“靠时间”结论的关键依据，摘要未充分提取"/>
            <filter val="2.1：遗漏了咨询师分享自身19岁经历（山东卫视首席主持人）、萨老师哥伦比亚大学心理学硕士背景、具体合唱歌曲《水手》、录有声书建议等细节；整体内容准确，干预技术归纳合理"/>
            <filter val="1.2：销售技巧探讨中&quot;发言者6指出需通过细节服务（如送小礼品、递茶水）提升客户好感度&quot;实际为发言者3所述（原文发言者3提到&quot;送小礼品递茶水等细节部分&quot;）；2.1：&quot;达成共识与解决方案&quot;和&quot;未决分歧与后续探索&quot;部分内容为模型自行归纳，原文为开放式讨论，未明确达成共识或列出后续探索事项，属轻度拔高"/>
            <filter val="1.1 事实错误，口才班需求支持与原文不一致；1.2 待协调事项负责人、对接人原文并未明确。2.1 细节遗漏，遗漏学生匹配度、先转孩子再抓父母的策略；"/>
            <filter val="1.1 部分对接人、负责人幻觉，但还好；2.1 待协调事项部分内容与前文重复"/>
            <filter val="2.1 核心遗漏：没有把问题的关键现状和解决措施列完整&#10;3.2 小标题合理性：归类业主提出的问题不应该概括为信息同步&#10;物业对于问题的回应和解决方案不应该概括为达成共识&#10;4.3 层级逻辑极其混乱：每个问题都应该按照问题现状-物业回应-解决措施的逻辑排列，现在要对应问题和相应的方案很困难"/>
            <filter val="2.1：遗漏嫌疑人作案动机（因家庭生活矛盾对来某某产生不满，于7月5日凌晨在家中趁来某某熟睡之际将其杀害、分尸后分散抛弃）这一关键案件事实；2.1：遗漏化粪池筛查的具体时间（7月22日下午）、恶劣工作条件（40度高温、连续奋战25小时）等关键侦查细节；2.1：遗漏被害人基本信息（51岁、杭州某公司保洁员）；2.1：遗漏嫌疑人背景（1987年起在绍兴、上海从事鱼粉和养殖生意，2018年到杭州工作）；2.1：遗漏对小区1075户人家开展询问走访的规模信息"/>
            <filter val="识别模板正确。2.1:对'家庭氛围压抑'背景信息提炼略浅；3.1:个别标点略不规范"/>
            <filter val="1.4 逻辑错乱：净化器需求增加应该属于家电区的工作内容&#10;2.1 核心遗漏：工作内容部分没有囊括所有的问题&#10;没有把管理层对于问题处理方案的决策列出来"/>
            <filter val="1.4：综合素质中&quot;对技术问题有持续学习的态度&quot;与原文候选人表达&quot;再久我真的要废了，搞不动了&quot;、&quot;不想搞了，累了累了&quot;的疲惫态度不符，存在逻辑判断偏差；2.1：原文为40+分钟长面试，模型遗漏了UniApp多端编译、Docker部署、Nacos服务注册发现、Sharding JDBC分库分表、CPU 100%事故（序列号写错入库几百亿）、本地压测QPS 1500、银信通项目对接第三方支付等多个技术话题讨论；项目经验评估过于简略"/>
            <filter val="2.1 核心遗漏：双方的共识没有提及&#10;4.3 层级逻辑极其混乱：应该按照核心论点-立论框架-支撑论据的逻辑顺序排列"/>
            <filter val="2.1 核心遗漏：对于论据的概括避重就轻，比如出现平台，没有强调主要出现在非权利中心这一关键论据&#10;双方的共识没有强调&#10;没有论述为什么反方胜利&#10;4.3 层级逻辑极其混乱：应该按照核心论点-立论框架-支撑论据的逻辑顺序排列"/>
            <filter val="1.1 幻觉：：只有一个原告&#10;1.2 事实错误：要求追加被告的是法院方，不是原告&#10;2.1 核心遗漏：只写了第一、第二被告，这些分别代表什么人和公司没有提及&#10;出庭情况没有提及&#10;只有质证，没有提及被质疑的证据具体是什么"/>
            <filter val="1.1：改进计划中&quot;19:00-23:00时段增派警力&quot;在原文中未提及，原文仅说&quot;晚上&quot;，具体时段属捏造；1.1：&quot;每月至少开展一次中小学交通安全公开课&quot;的频率原文未提及；1.1：&quot;结合测速设备强化夜间管控&quot;原文未明确提及测速设备；2.1：遗漏了事故科关于事故原因的具体数据（酒驾占1%、突发事故22.3%、车辆故障17.5%、高峰期40%+）及事故科提出的三点改进建议（加大酒驾打击力度、偏僻路口增加投入、高峰期增加人力辅助）"/>
            <filter val="2.1：遗漏了关键背景信息&quot;5年测试伪装应届生，面试官质疑是不是应届王&quot;，这是整个面试的核心语境和疑点；2.1：遗漏了候选人&quot;可能我长得有点显老&quot;的回应、视频面试形式（&quot;面试官可以看见到我吗&quot;）；2.1：遗漏了SQL优化中&quot;避免使用不等于号、索引不超过6个&quot;等具体细节；候选人OSI模型回答存在ASR错误但模型未予纠正说明"/>
            <filter val="2.1 核心遗漏：只写了国际公司作为第二被告，其他被告的身份没有提及&#10;出庭情况没有提及&#10;只有质证，没有提及被质疑的证据具体是什么&#10;4.3 层级逻辑极其混乱：被告没有按照第一被告往下的顺序排列，可读性比较差"/>
          </filters>
        </filterColumn>
      </autoFilter>
    </autofilterInfo>
  </sheetItem>
  <sheetItem sheetStid="14">
    <filterData filterID="AK20210901JXNSXO17933749"/>
    <autofilterInfo filterID="AK20210901JXNSXO17933749">
      <autoFilter xmlns="http://schemas.openxmlformats.org/spreadsheetml/2006/main" ref="A1:N168"/>
    </autofilterInfo>
  </sheetItem>
  <sheetItem sheetStid="16">
    <filterData filterID="AK20210901JXNSXO17933749"/>
    <filterData filterID="AK20210901JXNSXO16981454"/>
    <autofilterInfo filterID="AK20210901JXNSXO16981454">
      <autoFilter xmlns="http://schemas.openxmlformats.org/spreadsheetml/2006/main" ref="A1:S168"/>
    </autofilterInfo>
    <autofilterInfo filterID="AK20210901JXNSXO17933749">
      <autoFilter xmlns="http://schemas.openxmlformats.org/spreadsheetml/2006/main" ref="A1:S168"/>
    </autofilterInfo>
  </sheetItem>
</autofilters>
</file>

<file path=customXml/item2.xml><?xml version="1.0" encoding="utf-8"?>
<woProps xmlns="https://web.wps.cn/et/2018/main" xmlns:s="http://schemas.openxmlformats.org/spreadsheetml/2006/main">
  <woSheetsProps>
    <woSheetProps sheetStid="6" interlineOnOff="0" interlineColor="0" isDbSheet="0" isDashBoardSheet="0" isDbDashBoardSheet="0" isFlexPaperSheet="0">
      <cellprotection/>
      <appEtDbRelations/>
    </woSheetProps>
    <woSheetProps sheetStid="1" interlineOnOff="0" interlineColor="0" isDbSheet="0" isDashBoardSheet="0" isDbDashBoardSheet="0" isFlexPaperSheet="0">
      <cellprotection/>
      <appEtDbRelations/>
    </woSheetProps>
    <woSheetProps sheetStid="4" interlineOnOff="0" interlineColor="0" isDbSheet="0" isDashBoardSheet="0" isDbDashBoardSheet="0" isFlexPaperSheet="0">
      <cellprotection/>
      <appEtDbRelations/>
    </woSheetProps>
    <woSheetProps sheetStid="5" interlineOnOff="0" interlineColor="0" isDbSheet="0" isDashBoardSheet="0" isDbDashBoardSheet="0" isFlexPaperSheet="0">
      <cellprotection/>
      <appEtDbRelations/>
    </woSheetProps>
    <woSheetProps sheetStid="3" interlineOnOff="0" interlineColor="0" isDbSheet="0" isDashBoardSheet="0" isDbDashBoardSheet="0" isFlexPaperSheet="0">
      <cellprotection/>
      <appEtDbRelations/>
    </woSheetProps>
    <woSheetProps sheetStid="7" interlineOnOff="0" interlineColor="0" isDbSheet="0" isDashBoardSheet="0" isDbDashBoardSheet="0" isFlexPaperSheet="0">
      <cellprotection/>
      <appEtDbRelations/>
    </woSheetProps>
    <woSheetProps sheetStid="9" interlineOnOff="0" interlineColor="0" isDbSheet="0" isDashBoardSheet="0" isDbDashBoardSheet="0" isFlexPaperSheet="0">
      <cellprotection/>
      <appEtDbRelations/>
    </woSheetProps>
    <woSheetProps sheetStid="10" interlineOnOff="0" interlineColor="0" isDbSheet="0" isDashBoardSheet="0" isDbDashBoardSheet="0" isFlexPaperSheet="0">
      <cellprotection/>
      <appEtDbRelations/>
    </woSheetProps>
    <woSheetProps sheetStid="11" interlineOnOff="0" interlineColor="0" isDbSheet="0" isDashBoardSheet="0" isDbDashBoardSheet="0" isFlexPaperSheet="0">
      <cellprotection/>
      <appEtDbRelations/>
    </woSheetProps>
    <woSheetProps sheetStid="12" interlineOnOff="0" interlineColor="0" isDbSheet="0" isDashBoardSheet="0" isDbDashBoardSheet="0" isFlexPaperSheet="0">
      <cellprotection/>
      <appEtDbRelations/>
    </woSheetProps>
    <woSheetProps sheetStid="14" interlineOnOff="0" interlineColor="0" isDbSheet="0" isDashBoardSheet="0" isDbDashBoardSheet="0" isFlexPaperSheet="0">
      <cellprotection/>
      <appEtDbRelations/>
    </woSheetProps>
    <woSheetProps sheetStid="16" interlineOnOff="0" interlineColor="0" isDbSheet="0" isDashBoardSheet="0" isDbDashBoardSheet="0" isFlexPaperSheet="0">
      <cellprotection/>
      <appEtDbRelations/>
    </woSheetProps>
    <woSheetProps sheetStid="18" interlineOnOff="0" interlineColor="0" isDbSheet="0" isDashBoardSheet="0" isDbDashBoardSheet="0" isFlexPaperSheet="0">
      <cellprotection/>
      <appEtDbRelations/>
    </woSheetProps>
  </woSheetsProps>
  <woBookProps>
    <bookSettings isFilterShared="0" coreConquerUserId="" isAutoUpdatePaused="0" filterType="user" isMergeTasksAutoUpdate="0" isInserPicAsAttachment="0"/>
  </woBookProps>
</woProps>
</file>

<file path=customXml/item3.xml><?xml version="1.0" encoding="utf-8"?>
<pixelators xmlns="https://web.wps.cn/et/2018/main" xmlns:s="http://schemas.openxmlformats.org/spreadsheetml/2006/main">
  <pixelatorList sheetStid="6"/>
  <pixelatorList sheetStid="1"/>
  <pixelatorList sheetStid="4"/>
  <pixelatorList sheetStid="5"/>
  <pixelatorList sheetStid="3"/>
  <pixelatorList sheetStid="7"/>
  <pixelatorList sheetStid="9"/>
  <pixelatorList sheetStid="10"/>
  <pixelatorList sheetStid="11"/>
  <pixelatorList sheetStid="12"/>
  <pixelatorList sheetStid="14"/>
  <pixelatorList sheetStid="16"/>
  <pixelatorList sheetStid="18"/>
  <pixelatorList sheetStid="19"/>
</pixelators>
</file>

<file path=customXml/itemProps1.xml><?xml version="1.0" encoding="utf-8"?>
<ds:datastoreItem xmlns:ds="http://schemas.openxmlformats.org/officeDocument/2006/customXml" ds:itemID="{D5662047-3127-477A-AC3A-1D340467FB41}">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06C82605-B75B-4693-9329-32AAD527C692}">
  <ds:schemaRefs>
    <ds:schemaRef ds:uri="https://web.wps.cn/et/2018/main"/>
    <ds:schemaRef ds:uri="http://schemas.openxmlformats.org/spreadsheetml/2006/main"/>
  </ds:schemaRefs>
</ds:datastoreItem>
</file>

<file path=customXml/itemProps3.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竞品对比</vt:lpstr>
      <vt:lpstr>指标统计</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houyefei</cp:lastModifiedBy>
  <dcterms:created xsi:type="dcterms:W3CDTF">2022-10-11T02:32:00Z</dcterms:created>
  <dcterms:modified xsi:type="dcterms:W3CDTF">2026-09-16T14:15:43Z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2052-0.0.0.0</vt:lpwstr>
  </property>
</Properties>
</file>