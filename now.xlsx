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AgentFlow\"/>
    </mc:Choice>
  </mc:AlternateContent>
  <xr:revisionPtr revIDLastSave="0" documentId="13_ncr:1_{7B200735-2C81-4902-806C-8A8EABC494FD}" xr6:coauthVersionLast="47" xr6:coauthVersionMax="47" xr10:uidLastSave="{00000000-0000-0000-0000-000000000000}"/>
  <bookViews>
    <workbookView xWindow="-110" yWindow="-110" windowWidth="25820" windowHeight="13900" xr2:uid="{00000000-000D-0000-FFFF-FFFF00000000}"/>
  </bookViews>
  <sheets>
    <sheet name="竞品对比" sheetId="1" r:id="rId1"/>
    <sheet name="指标统计" sheetId="2" state="hidden"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8" i="2" l="1"/>
  <c r="H4" i="2"/>
  <c r="G4" i="2"/>
  <c r="F4" i="2"/>
  <c r="E4" i="2"/>
  <c r="D4" i="2"/>
</calcChain>
</file>

<file path=xl/sharedStrings.xml><?xml version="1.0" encoding="utf-8"?>
<sst xmlns="http://schemas.openxmlformats.org/spreadsheetml/2006/main" count="206" uniqueCount="173">
  <si>
    <t>文本</t>
  </si>
  <si>
    <t>场景</t>
  </si>
  <si>
    <t>纪要</t>
  </si>
  <si>
    <t>消耗时间</t>
  </si>
  <si>
    <t>文本长度</t>
  </si>
  <si>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</si>
  <si>
    <t>新闻发布</t>
  </si>
  <si>
    <t>7004/4097</t>
  </si>
  <si>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</si>
  <si>
    <t>沟通交流会</t>
  </si>
  <si>
    <t>13887/6228</t>
  </si>
  <si>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</si>
  <si>
    <t>总结复盘会</t>
  </si>
  <si>
    <t>24562/7168</t>
  </si>
  <si>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</si>
  <si>
    <t>通用纪要</t>
  </si>
  <si>
    <t>21511/4595</t>
  </si>
  <si>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</si>
  <si>
    <t>工作研讨会</t>
  </si>
  <si>
    <t>21458/9241</t>
  </si>
  <si>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</si>
  <si>
    <t>庭审记录</t>
  </si>
  <si>
    <t>28485/4467</t>
  </si>
  <si>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</si>
  <si>
    <t>项目进度会</t>
  </si>
  <si>
    <t>11110/2298</t>
  </si>
  <si>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</si>
  <si>
    <t>22868/9926</t>
  </si>
  <si>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</si>
  <si>
    <t>课堂记录</t>
  </si>
  <si>
    <t>9362/3640</t>
  </si>
  <si>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</si>
  <si>
    <t>7755/6449</t>
  </si>
  <si>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</si>
  <si>
    <t>25691/8047</t>
  </si>
  <si>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</si>
  <si>
    <t>11163/5739</t>
  </si>
  <si>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</si>
  <si>
    <t>知识笔记</t>
  </si>
  <si>
    <t>7465/3567</t>
  </si>
  <si>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</si>
  <si>
    <t>4014/4310</t>
  </si>
  <si>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</si>
  <si>
    <t>采访记录</t>
  </si>
  <si>
    <t>14719/4308</t>
  </si>
  <si>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</si>
  <si>
    <t>就医咨询</t>
  </si>
  <si>
    <t>8519/1754</t>
  </si>
  <si>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</si>
  <si>
    <t>30731/3559</t>
  </si>
  <si>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</si>
  <si>
    <t>面试报告</t>
  </si>
  <si>
    <t>5808/2027</t>
  </si>
  <si>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</si>
  <si>
    <t>参观游览</t>
  </si>
  <si>
    <t>4497/3901</t>
  </si>
  <si>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</si>
  <si>
    <t>调研访谈</t>
  </si>
  <si>
    <t>5309/3125</t>
  </si>
  <si>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</si>
  <si>
    <t>家校沟通</t>
  </si>
  <si>
    <t>17334/3660</t>
  </si>
  <si>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</si>
  <si>
    <t>团队例会</t>
  </si>
  <si>
    <t>4999/1743</t>
  </si>
  <si>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</si>
  <si>
    <t>10297/1682</t>
  </si>
  <si>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</si>
  <si>
    <t>专题讲座</t>
  </si>
  <si>
    <t>26252/4732</t>
  </si>
  <si>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</si>
  <si>
    <t>辩论会</t>
  </si>
  <si>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</si>
  <si>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</si>
  <si>
    <t>产品发布</t>
  </si>
  <si>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</si>
  <si>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</si>
  <si>
    <t>政府报告</t>
  </si>
  <si>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</si>
  <si>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</si>
  <si>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</si>
  <si>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</si>
  <si>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</si>
  <si>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</si>
  <si>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</si>
  <si>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</si>
  <si>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</si>
  <si>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</si>
  <si>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</si>
  <si>
    <t>小组讨论</t>
  </si>
  <si>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</si>
  <si>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</si>
  <si>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</si>
  <si>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</si>
  <si>
    <t>对话记录</t>
  </si>
  <si>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</si>
  <si>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</si>
  <si>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</si>
  <si>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</si>
  <si>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</si>
  <si>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</si>
  <si>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</si>
  <si>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</si>
  <si>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</si>
  <si>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</si>
  <si>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</si>
  <si>
    <t>准确性</t>
  </si>
  <si>
    <t>相关性</t>
  </si>
  <si>
    <t>通顺性</t>
  </si>
  <si>
    <t>其它问题</t>
  </si>
  <si>
    <t>MOS分</t>
  </si>
  <si>
    <t>模板准确性</t>
  </si>
  <si>
    <t>竞品对比</t>
  </si>
  <si>
    <t>A</t>
  </si>
  <si>
    <t>B</t>
  </si>
  <si>
    <t>C</t>
  </si>
  <si>
    <t>自定义模板</t>
  </si>
  <si>
    <t>智能识别</t>
  </si>
  <si>
    <t># 发布会概况
本次发布会为慕尼黑安全会议期间中方专场活动，中共中央政治局委员、外交部长王毅出席并发表主旨演讲，随后接受会议主持人克里斯托夫·霍伊斯根提问。发布会围绕世界多极化、国际秩序、联合国作用、乌克兰危机、中欧关系、中美关系等重大议题展开。王毅系统阐述了中国推动**平等有序的世界多极化**的主张，强调中国将坚定做变革世界中的建设性力量，并就乌克兰危机、中美关系等热点问题回应了现场提问。发布会整体基调理性务实，既展现了中国对多极世界的真诚期许，也明确了在核心利益问题上的坚定立场。
# 核心信息
- 王毅指出，当前世界正走向多极化，联合国成立时仅**51个会员国**，如今已有**193个国家**。中国主张推动**平等有序的世界多极化**，这是习近平主席提出的重大主张。
- 中国主张坚持**权利平等、机会平等、规则平等**，作为建设多极世界的基本原则；呼吁提升发展中国家在国际体系中的代表性和发言权。
- 中国加入了几乎所有普遍性的政府间国际组织和**600多项国际公约**，从不搞例外主义，更不搞“合则用，不合则弃”。
- 中国承担超过**20%的联合国会费**，切实履行《巴黎协定》，建成了世界上最大的清洁发电体系。
- 中国提出并落实**全球发展倡议、全球安全倡议、全球文明倡议**，为完善全球治理提供公共产品。
- 2024年中国GDP增长**5%**，对世界经济增长的贡献率接近**30%**。
- 中国愿推动高质量共建“一带一路”，并与欧盟“全球门户”战略相互对接。
- 今年是中欧建交**50周年**，中方愿同欧方深化战略沟通和互利合作。
- 关于乌克兰危机，王毅强调中方从危机爆发第2天（**2022年2月25日**）起就提出对话协商解决，习近平主席提出**四点主张**：各国主权领土完整应该得到尊重、联合国宪章应该得到遵守、各国合理安全关切应该得到重视、一切致力于和平的努力都应该得到支持。
- 中国对美政策遵循习近平主席提出的**三原则**：相互尊重、和平共处、合作共赢。
# 官方表态
**关于世界多极化与国际秩序：**
&gt; “我们应当推动平等有序的世界多极化。这是习近平主席提出的又一个重大主张，也是我们对多极世界真诚的期许。中国必将是多极体系中的确定性因素。将坚定做变革世界中的建设性力量。”
王毅提出四点看法：一是应当倡导平等相待，坚持权利平等、机会平等、规则平等；二是应当尊重国际法治，联合国宪章宗旨和原则是国际关系的根本遵循；三是要践行多边主义，联合国是践行多边主义、推进全球治理的核心平台，对于这座大厦应该固本强基，而不是拆梁毁柱；四是要坚持开放共赢，保护主义不是出路，滥加关税没有赢家，脱钩断链断的是机遇，小院高墙封的是自己。
**关于“中国改变国际秩序”的质疑：**
&gt; “真正要挑战秩序，在毁约退群的国家出现了……而中国我们是在现行国际秩序中发展起来的，我们是这个秩序的受益者。我们要做的就是按照大多数国家的愿望，推动这个秩序朝着更加公正合理的方向去发展。”
王毅强调，各国应共同维护以联合国为核心的国际体系，共同遵守以联合国宪章宗旨和原则为基础的国际关系基本准则，这是最大的公约数。只要大家都认同这一点，双重标准就不会出现。
**关于乌克兰危机及对俄关系：**
针对主持人关于中国是否可减少从俄罗斯购买油气的提问，王毅回应：
&gt; “如果中国不从俄罗斯买，哪个国家能够提供如此巨量的油气来满足中国民众的需求呢？那是不可能的，也是不保险的。因为常常有的国家把经贸问题政治化，当做打压中国的工具，我们不会允许出现这样的情况，我们要为我们的人民负责任。”
王毅同时强调，中国在乌克兰问题上的立场是主张一切争端和冲突通过对话寻求政治解决，武力与制裁不可能真正彻底解决问题。中方持续推进劝和促谈，派特使赴各国斡旋，同巴西等南方国家发起“和平之友”。中方乐见一切致力于和平的努力，包括美俄达成的共识，同时认为所有当事方包括利益攸关方都应适时参与和谈进程。欧洲有必要为此发挥重要作用，共同探讨欧洲的长治久安，找到均衡、有效、可持续的欧洲安全框架。
**关于中美关系：**
&gt; “中国的对美政策保持着连续性和稳定性，我们不会轻易的翻烙饼。这体现了作为大国的战略定力和国际信誉。”
王毅表示，中方已准备好按照三原则同美方构建稳定、健康、可持续的双边关系。同时明确表态：
&gt; “如果美方不愿意，如果美方仍然还要对中国打压和遏制，那我们也别无选择，我们必将奉陪到底。我们必将坚定的维护中国的主权、中国的国家的尊严和我们的正当发展权利。必将坚决的回击美方的单边和霸凌的这种行径。”
王毅引用古语“天行健，君子以自强不息”“他强任他强，清风拂山岗。他横任他横，明月照大江”表达中方定力，强调对世界前途和中美关系的未来充满信心。
# Q&amp;A环节
**问（主持人）** ：您提到国际秩序和联合国宪章，但当前我们看到俄罗斯入侵乌克兰、美国总统威胁使用武力入侵格陵兰和巴拿马、巴勒斯坦人流离失所，中国也被指责违反海洋法或世界人权宣言。您即将前往纽约参加安理会会议，您是否仍然相信联合国？是否相信联合国宪章？联合国改革在您的优先事项中排多高？
**答（王毅）** ：提问涉及两个关键词——秩序和规则。关于秩序，真正要挑战秩序、毁约退群的国家已经出现，而中国是在现行国际秩序中发展起来的受益者，要推动秩序朝着更加公正合理的方向发展。关于规则，各方应共同维护以联合国为核心的国际体系，共同遵守以联合国宪章宗旨和原则为基础的国际关系基本准则，这是最大的公约数。中国意识到承担的国际责任和义务，愿意向世界提供更多公共产品，包括全球发展倡议、全球安全倡议、全球文明倡议。习近平主席还提出构建人类命运共同体的重大理念，希望各国超越历史文化、社会制度、意识形态的不同，共同呵护人类唯一可以居住的星球。
---
**问（主持人）** ：自2022年以来，慕尼黑安全会议的主题一直是俄罗斯入侵乌克兰。您在俄入侵前几天曾表示“任何国家的主权、独立和领土完整都应得到尊重和维护，乌克兰也不例外”。如今俄罗斯已成为中国加油站（主持人称中国是“带军队的加油站”），中国对乌克兰有很大影响力。在目前压力加大、各方推动结束战争的情况下，中国是否可以从自身角度出发，减少俄罗斯向中国供应天然气的可能性、降低价格或停止部分军民两用物资的输送，从而对俄罗斯施加更大压力以结束战争？
**答（王毅）** ：中国同俄罗斯是两大邻国，有着漫长的边界。两国关系经历过曲折后，建立了结盟不对抗、不针对第三方的睦邻友好关系，进而建立全面战略伙伴关系。中国同俄罗斯之间的交往是正常的国与国之间的交往。关于是否可以不从俄罗斯购买油气，如果中国不从俄罗斯买，没有哪个国家能提供如此巨量的油气满足中国民众需求，那是不可能的，也是不保险的。但中国在地区热点问题上有自己的立场，历来主张一切争端和冲突应通过对话寻求政治解决。乌克兰危机爆发第2天（2022年2月25日），中方就提出对话协商解决。习近平主席提出的四点主张是中国立场的最权威阐释。中方以此推进劝和促谈，派出特使斡旋，同巴西等南方国家发起“和平之友”。任何冲突的终点都是谈判桌，中方乐见一切致力于和平的努力，包括美俄达成的共识。同时所有当事方包括利益攸关方都应适时参与和谈进程。这场战事发生在欧洲大地上，欧洲更有必要发挥重要作用，共同探讨欧洲的长治久安，找到均衡、有效、可持续的欧洲安全框架。
---
**问（主持人）** ：时间有限，请您简要预告一下美中关系将如何发展？
**答（王毅）** ：中国的对美政策保持连续性和稳定性，不会轻易“翻烙饼”。对美政策就是习近平主席提出的三原则——相互尊重、和平共处、合作共赢。中美制度不同是各自人民做出的选择，想改造或颠覆对方是不切实际的。正确态度是相互尊重，这是中美交往的前提；和平共处理所当然，两个大国不能冲突起来，那将殃及整个世界；合作共赢是国际社会的期待，全球性挑战需要中美携手应对。中方已准备好按照三原则同美方构建稳定、健康、可持续的双边关系。希望美方相向而行，但如果美方仍要对中国打压遏制，中方别无选择，必将奉陪到底，坚决维护中国的主权、国家尊严和正当发展权利，坚决回击美方的单边和霸凌行径。中国这样做也是为了维护国际公平正义和国际关系基本准则。中国人从来不信邪、不怕鬼，新中国就是在战胜各种艰难险阻中发展壮大起来的。中方对世界前途和中美关系的未来充满信心，中美两国只有一个共同努力的方向——相互尊重、和平共处、合作共赢。</t>
    <phoneticPr fontId="4" type="noConversion"/>
  </si>
  <si>
    <t># 电子科技大学电子科学与工程学院研究生招生宣讲会会议纪要
## 沟通背景与目的
本次会议为电子科技大学电子科学与工程学院研究生招生宣讲会，旨在向考生及家长全面介绍学院的历史沿革、学科建设、师资力量、科研平台、人才培养成果及招生政策。会议由主持人串联，邀请学院领导及多位教授分别就学院整体情况、电子信息材料与元器件方向、电磁场与微波技术与电路与系统方向、物理电子学方向进行详细介绍，并由在读博士生分享择校与导师选择的个人经验。会议最后设置答疑与抽奖互动环节，公布了夏令营相关信息和学院咨询QQ群。
## 信息同步
### 一、学院整体情况（发言者2：段院）
**1. 学院历史沿革**
- 1956年建校之初成立无线电系、电真空器件系、无线电零件系
- 历经1979年、1992年、2001年、2018年四次院系调整，成立电子科学与工程学院（示范性微电子学院）
- 2023年响应国家号召，成立电子科学与工程学院与集成电路学院
- 电子科学与技术为一级学科，属国家重点一级学科，下设5个二级学科方向：电磁场与微波技术、电路与系统、微电子学与固体电子学、物理电子学、电磁信息功能材料与机构
- 另有3个国防特色学科：电磁场与微波、军用关键材料、电子元器件
**2. 党建与荣誉**
- 学院党委入选教育部首批全国党建工作标杆院系
- 学院荣获全国教育系统先进集体
**3. 人才培养规模**
- 本科生现有1545人，招生专业为工科试验班（电子工程类），含两个专业方向：电子科学与技术（国家特色专业、国家级一流本科专业建设点）、电磁场与无线技术
- 硕士研究生和博士研究生共1975人
- 学术学位博士/硕士招生专业：电子科学与技术；硕士另含材料科学与工程
- 专业学位博士/硕士招生专业：电子信息；硕士另含材料工程
- 本科生深造率稳中有进，创新创意竞赛屡创佳绩，研究生科研学术能力不断加强，涌现出许多优秀个人和集体
**4. 师资队伍**
- 现有教师302人，其中教研系列139人、科研系列95人、教学系列14人、实验系列21人，教师总数269人，机关33人
- 高层次人才：两院院士2人、领军人才19人、青年人才28人、其他类型人才12人，后续人才61人
- 拥有2个全国高校黄大年式教师团队（含电磁辐射与散射教师团队）
- 2022年获批4个国家自然科学基金创新群体
**5. 科研情况**
- 近5年科研经费到账经费稳定在3~4亿元之间，以纵向项目为主、横向项目为辅
- 牵头获得国家科技奖励11项
- 近5年发表高水平学术论文2000余篇
- 专利申请1600余件，授权1300余件
- 共有20个科研团队，年度经费过千万元的团队15个，其中过亿元团队1个
- 科研方向覆盖材料、器件、电路、系统，形成从基础科学研究到工程实践再到产业化的完整创新链条
**6. 科研平台**
- 2个国家级平台：国家电子辐射控制材料工程技术研究中心、微波电子器件国家级重点实验室
- 4个国际合作平台、7个省部级科研平台
- 共建国际姊妹院系2个：香港大学电机电子工程系、香港城市大学电子工程系
- 主办高水平国际会议13场，学生长短期交流项目20余个
### 二、电子信息材料与元器件方向（发言者3：柳教授）
**1. 方向内涵与定位**
- 主要涉及电子材料与电子器件，在IT领域以物质基础与先导推动电路系统与电子装备研发
- 概括为"一代材料催生一代器件，服务一代整机"
- 以电子在物质中的输运特性（电磁声光热力、化学生物等）及外部作用为基础，设计、研究和生产电子器件
- 以材料为基础、器件为核心、应用为目标导向
**2. 国家需求与产业背景**
- 2021年中国集成电路电子产品进口额度达2.8万亿元，约为原油进口量的1.7倍
- 先进电子材料、元器件、电路系统等电子产品是我国目前最为紧迫的"卡脖子"问题之一
- 在6G通讯、量子技术、智慧城市、光电技术、新能源、智能电子等领域发挥重要作用
- 已广泛应用于物联网、移动设备、网络基础设施、无人驾驶、航空航天、医疗健康和可穿戴设备等领域，市场规模达万亿美元量级
- 电子产品向小型化、多功能、低功耗、智能化方向发展，元器件朝微型化、片式化、集成化、薄膜化和智能化方向演进
- 集成技术发展趋势为摩尔定律（制程不断缩小）与超摩尔定律（功能多样化）相结合
**3. 研究团队**
- 方向拥有国家级人才10余人
- 团队一：邓龙江院士所在的电磁辐射控制材料与技术团队，现有研究人员19人（正高13人、副高15人），近年来发表包括Nature在内的论文300余篇，承担国家省部级及国际合作课题130余项，年均到账经费3000余万元，授权发明专利100余项，获国家科技进步奖或技术发明奖二等奖共计3项
- 团队二：张怀武教授领导的磁电薄膜与微型器件团队，现有研究人员17人（正高15人、副高2人），重点开展LTCC材料及集成技术、微波毫米波晶圆及器件、自旋电子与磁量子器件、传感器芯片等研究，承担国家重点研发计划、自然基金重点重大科学仪器项目、国际合作等项目100余项，发表SCI论文400余篇，年均到账经费2000余万元，获科技进步二等奖共计3项
**4. 科研平台与条件**
- 国家电磁辐射控制材料工程技术研究中心：历史可追溯至1990年校级材料与技术研究中心，经2008年及2013年两次升级形成国家级平台，主要开展多频谱涂层、电磁材料与结构、智能材料与结构研究，拥有成都嘉驰电子科技等成果转化基地
- 电磁薄膜与集成器件全国重点实验室：2006年依托新型传感器、功率半导体技术、电子信息材料三个部级重点实验室筹建，围绕电子薄膜材料和集成器件开展基础与应用研究，形成电子聚合物与阵列传感器、功率半导体与集成技术三个重点方向
- 科研面积达2万余平米，其中超净间3000平米
- 建设两条国家重大任务试验生产线，拥有大型设备或系统500余台套
- 材料制备设备50余台套（液相外延、磁控溅射、化学气相沉积、分子束外延、原子沉积等）
- 微纳加工设备30台套（步进式光刻机、深槽反应离子刻蚀机等）
- 材料结构分析设备10余台套（X射线衍射仪、粒度分析仪、X射线光电子能谱仪、扫描电镜、扫描探针显微镜、透射电镜等）
- 材料性能测试设备50余台套（拉曼光谱、分光光度计、差热分析仪、傅立叶红外光谱等）
**5. 人才培养成果**
- 已获国家技术发明等奖项共计7项
- 毕业生遍布产业界与学术界，包括英特尔、中芯国际、华为、德州仪器及高校科研院所
- 优秀学生案例：
  - 在读学生杨伟豪在磁性非互易表面方向以第一作者在Nature Electronics、Nature Communications各发表论文1篇
  - 5G滤波器芯片学生团队获"挑战杯"创新创业大赛四川省金奖
  - 2018届四川省优秀毕业生黄飞获斯坦福大学攻读博士全额奖学金
  - 早期优秀毕业生李凤霞读博期间发表学术论文16篇（一作6篇）
  - 2023届毕业生严巍获华为光产线优秀合作项目奖及王大珩光学奖，博士毕业后以优秀青年学者身份加入苏州大学
  - 毕业生万位现任河北美泰电子科技公司副总，率先采用MEMS工艺研制出SIW环形器隔离器，突破卡脖子器件核心技术，实现高性能非互易器件产业化
### 三、电磁场与微波技术、电路与系统方向（发言者4：张教授）
**1. 专业方向构成**
- 电磁场与微波技术包含4个细分方向：微波毫米波电路、电波传播与电磁兼容、计算电磁学与工程电子学、天线理论与技术
- 电路与系统包含3个专业方向：非线性电路与复杂电子系统、射频微波电路与系统、集成电路与系统
- 两个学科共同组建射频电子系统的全方位专业覆盖
**2. 学科历史沿革**
- 电磁场与微波技术学科始于1956年建校时期，由林为干先生和谢处方先生共同创建
- 形成电磁场与无线技术国家特色专业及电波传播与天线国防紧缺特色专业
- 所属一级学科电子科学与技术入选"双一流"A类学科
**3. 研究团队与平台**
- 电磁场与微波技术方向由6个团队组成：电磁辐射与散射团队、毫米波技术与系统应用团队、微波毫米波集成电路与系统团队、电磁兼容技术团队、微波测试与成像技术团队、无线技术与集成系统团队
- 学科平台包括：国家自然科学基金委创新群体、国家高等学校学科创新引智基地、国家工程技术研究中心、国家级重点实验室
- 硬件平台拥有中国高校最为先进的微波暗室群体及先进的微波毫米波太赫兹仿真测试平台
**4. 主要研究成果**
- 天线理论与技术方向：杨世文教授团队研究四维天线阵列技术，为天线阵列设计提供新自由度，实现低成本高性能；在强耦合超宽带相控阵方面取得系列进展，相关成果应用于中电14所某大型机载相控阵雷达；樊勇教授团队研究毫米波平面集成天线，可广泛应用于毫米波通信雷达系统
- 电波传播与电磁兼容方向：李恩教授团队引领微波毫米波测量技术，突破众多技术封锁，有60多年技术积累；杨世文教授团队在电磁测井仪器方面获国家科技进步二等奖1项，成果在中海油成功推广应用
- 微波毫米波电路方向：延波教授团队引领微波毫米波太赫兹芯片研究，获国家科技重大专项及军科委支持，应用于新一代高速通信系统；在固态合成功率源、天线阵列、扩电网络等电路与通信雷达系统方面取得成果；在微波毫米波微系统技术方面研制出三毫米导引头前端、毫米波引信前端及8毫米宽带收发前端
- 计算电磁学方向：杨世文教授团队相关算法被评为20世纪十大算法之一；樊勇教授团队成功研制0.22THz、0.34THz、0.42THz雷达成像系统，实验平台分辨率小于1厘米
- 太赫兹通信技术：成果在2023年成都大运会田径项目中成功示范应用
- 生物医学电磁学及成像方向：李恩教授团队面向5G通信、高性能系统、生物医学、新能源等方向提供应用需求，发表大量高水平论文及20余项国家发明专利
**5. 电路与系统学科情况**
- 1981年开始招收硕士和博士研究生，1988年成立首批博士后流动站
- 学科平台包括教育部国际合作联合实验室、国家高等学校学科创新引智基地
- 拥有国家级人才4人、新世纪人才2人、教授10人、副教授22人
**6. 电路与系统主要研究方向**
- 集成物理方向：樊勇教授和李廷军教授团队从事高速磁浮交通38GHz车地通信系统研制，可实现安全可靠实时宽带通信，确保列车安全运行
- 毫米波通信雷达CMOS芯片方向：樊勇教授与张教授（发言者4本人）团队面向通信雷达领域新应用新场景，探索集成电路设计新架构；康凯教授团队在毫米波CMOS芯片方向取得系列成果，包括超宽带模块级芯片及5G通信系统和雷达系统研制
**7. 人才培养成果**
- 连续三年获得全国大学生集成电路创新创业大赛奖项
- 荣获华为优秀合作项目奖、研究生优秀导学团队提名奖
- 学生获"互联网+"奖项、国际HPV各类奖项、优秀论文及创新创业大赛成果奖项
- 就业领域分布广泛，包括华为、中兴等行业领军企业、各大研究所及高校，毕业生海外留学方面也取得不少突破
### 四、物理电子学方向（发言者5：李天明教授）
**1. 学科定义与范畴**
- 物理电子学是物理学与电子科学与技术的交叉学科
- 将物理学最新研究成果应用于电子学中，产生新型电子器件
- 典型应用包括：微波与电子相互作用（微波电子学，产生微波电真空器件）、光与电子相互作用（光电子学，形成光电器件）
- 学科特点：内容不断充实（如量子电子学内容逐渐增加）；学科边界不一定非常清晰（如光电子学也可属于光学工程一级学科）；具有基础性与前沿性；是支撑现代信息技术的关键技术学科
**2. 学校物理电子学发展历程**
- 1956年建校时在前苏联专家帮助下成立电真空器件专业，归属电子器件系
- 1979年在刘盛纲院士带领下成立高能电子学研究所
- 2001年物理系、应用所、高能所成立物理电子学专业
- 2018年物理电子学院、电工学院和微固学院部分合并成立电子科学与工程学院
- 经过近70年发展，学科内涵不断扩展：纵向发展（上游仿真设计、数字模拟材料，下游系统应用）；横向发展（频段从微波向毫米波、太赫兹扩展；与医学等学科交叉）
**3. 科研方向与成果**
- 拥有自主知识产权的商用软件（MMST、切皮克），为国内广泛应用的两款算法商用软件
- 将人工智能引入器件设计和电子学应用
- 系统应用方面：利用大功率器件研制毫米波雷达（回旋行波管）、行波管无线输能系统、磁控管微波能干燥系统
- 太赫兹技术方向：利用高分辨率、透视效果好的特点做太赫兹成像；采用光电融合新方式；利用太赫兹宽频带特点用于保密通信和高速通信
- 医学交叉方向：利用太赫兹成像应用于医学诊断，提高诊断准确性
- 拥有3个四川省工程中心或重点实验室
- 每年到校科研经费接近2亿元，为学院最多
- 是国际上最大的真空器件研究中心
- 2023年成功举办行业顶级会议
- 物理电子学方向共有9个研究团队
**4. 学生出口情况**
- 以李教授团队为例：约1/3学生硕博连读，1/3去企业，1/3去研究所或其他（公务员等）
- 李教授个人每年约2名硕士毕业、1名博士毕业
### 五、学生视角分享（发言者6：田雨桐，2023级电子科学与技术专业博士研究生）
**1. 选择电子科技大学的理由**
- 城市因素：成都是四川省会、国家中心城市、新一线城市、国家历史文化名城，电子信息产业处于国内发展前端，英特尔、华为、京东方等众多行业巨头汇聚，提供得天独厚的实践平台和就业资源
- 学校因素：电子科大是我国电子信息人才培育的代名词，拥有电子信息博物馆，构建了最完整的电子信息学科群，被誉为"中国民族电子工业人才的摇篮"
- 专业因素：电子科学与技术学科在第4轮学科评估中斩获A+，稳居全国第一
**2. 导师选择经验**
- 研究方向契合基础上，期望找到志同道合的良师益友
- 所在毫米波技术与系统应用团队在樊勇老师带领下，围绕微波毫米波理论与技术、天线理论与技术、元器件与电路、通信技术与系统、雷达成像技术与系统五大方向开展研究
- 研究方向覆盖电磁场与微波技术、电路与系统，可学到从芯片、封装、天线、电路模块到系统的全面知识
- 团队硕博毕业生实现100%就业率，就业单位涵盖民营企业、大型央国企和头部科研院所
**3. 校园生活与奖助体系**
- 学校有东湖钢琴小屋、跨年无人机灯光秀（300架无人机拼出UESTC字样）等校园文化
- 学院构建全覆盖、高额度、长周期的奖助体系，包括国家奖学金、学业奖学金、专项奖学金、新生奖学金及国家助学贷款等
**4. 择校建议**
- 根据研究方向先选择合适的研究团队，再选择合适的研究生导师
- 学院拥有四大学科和19个科研团队，可从学院网站按兴趣选择
- 可通过IEEE、中国知网等文献检索网站查阅导师论文和指导研究生毕业情况
- 建议提前沟通交流，近距离了解学校日常生活
### 六、夏令营与招生咨询信息
- 电子学院计划今年举办夏令营活动，具体时间待定
- 学院咨询QQ群号：978499108，相关信息将及时在群内发布
## 达成共识
1. 学院今年计划举办夏令营活动，具体时间待定，后续将通过QQ群（978499108）及时发布相关信息。
2. 学院各学科方向均具备完整的科研平台和人才培养体系，欢迎考生根据兴趣选择报考。
3. 宣讲会最后进行了抽奖互动，口令为"一生一世，逐梦未来"，中奖同学需私信后台留下联系方式和收货地址。
## 待协调事项
| 事项描述 | 对接人/负责人 | 预计完成时间/后续计划 |
|---------|-------------|-------------------|
| 夏令营具体时间与形式确定 | 电子科学与工程学院（段院） | 时间待定，将通过QQ群（978499108）及时发布 |
| 中奖同学奖品寄送 | 直播后台工作人员 | 中奖同学私信后台留下联系方式和收货地址后安排寄送 |</t>
  </si>
  <si>
    <t># 复盘目标与结果概况
本次会议为公司2023年度总结复盘会，由老板主持，围绕全年经营数据、年终奖发放标准、各部门及个人评价、年度颁奖与抽奖等环节展开。会议核心目标为：回顾2023年公司整体经营状况，公布关键财务数据，对各部门及员工进行年度评价与激励，并明确2024年的改进方向。
从结果来看，2023年公司总量实现提升，这是公司能够召开年会并发放年终奖的根本前提。全年营业额与开票额未公布具体数字，但实际支出（含人员工资、外援配音、字幕、租机器等）达390万元，利润率约为24%–27%，老板认为这一利润率"非常不可观"。年终奖总额为226,000元，较去年增加约13–12万元（原文表述为"比去年要多1312万多"，存在口误，结合上下文应为"比去年多12万多"）。员工平均到手工资约1万元/月，最高收入（含年终奖）达20万元以上的有2–3人。公司尚有约百万元款项未收回，实际结余有所缩水。老板个人收入较去年减少约10万元，同时承担了约100万元的亏损风险。
人员方面，2023年干满一年的员工从去年的4–5人增加到12人，人员成本相应上升，但总量提升带来的结余支撑了年终奖的发放。
---
# 亮点事项
**短视频账号实现突破性增长，成为公司软实力的重要支撑。** 该账号从2023年6月20日第一条外拍对话视频开始出现转折，此前经历了约10次老板提醒"出去找工作"的困境。核心转机在于运营人员郭东辉在收到外部工作邀约后，以破釜沉舟的心态说服老板尝试外拍模式，同时新同事加入负责剪辑，形成团队合力。各平台粉丝数据变化如下：
- 视频号：从3月1日的719人增长至8万
- 小红书：从1月的2000+增长至6.4万
- 抖音：从2000+增长至5.7万
- B站：从3.1万增长至7.6万
账号变现方面，课程销售已达十分制中的7.5分（含0.5分期待空间），直播在视频号已开展4–5场，场均在线人数5000+，平均在线时长50分钟以上，但尚未形成课程变现闭环。外部同行对此评价为"你们居然能做这么久"，侧面印证了坚持的价值。
**员工个人表现超出预期，多个岗位涌现标杆。** 刘腾宇作为刚满一年的员工，在职业性、专业性、纪律性上均获最高评价，客户反馈"如果不是你这个小姑娘做的好，你们做的这么慢，早投诉你们了"，年终奖在既定标准上因主管肯定再提升一档。红叶子入职数月即获政委"既懂技术又懂英语，很难招到这样的人才"的高度评价。张扬作为公司主动引进的人才，被认为"2023年干得最有价值的一件事就是把他招进来"，其到来带来了职业态度和工作能力上的积极改变。宋俊逸入职两三个月，第一次安排撰写宣传片文稿即让老板感到"行家一出手便知有没有"。
**公司首次认真对待仪式感建设。** 今年增设了年度颁奖环节，包括最佳新人奖、最佳进步奖、后期独当一面奖、最佳员工奖、特别贡献奖五个奖项，定制了皮质证书（40元/本，含设计费，字体经过认真校对），并准备了红包。这是对员工此前"欠缺仪式感"建议的回应。
**拍摄团队在高强度工作下保持积极态度。** 下半年拍摄密集，甚至出现两个月连轴转、无一天休息的情况，但拍摄团队在干活方面始终积极，与外聘助理形成鲜明对比。
---
# 不足事项
**成本控制能力差，是全年最大的结构性问题。** 全年实际支出390万元，利润率仅24%–27%，老板直言"非常不可观"。归因如下：
- 根源在于老板对成本问题的关注不够、管理不够雷厉风行，出现问题未及时解决 → 本质是管理层对成本管控缺乏系统性机制和常态化跟踪
- 外援成本偏高，部分拍摄工作公司内部人员本可完成，但因人员安排不开或技能不足而不得不外包 → 本质是内部人力资源调度不充分、技能储备不足
- 人员增加导致成本上升，但属于正常现象，核心问题在于相对成本增速高于总量增速
**短视频项目前期长期陷入困境，险些被放弃。** 6月20日之前，老板曾多次（约10次）建议运营人员"出去找工作"，项目一度处于放弃边缘。归因如下：
- 老板与运营人员之间存在认知分歧，运营人员认为"说服自己比说服老板更难"，需要克服委屈感坚持推进 → 本质是上下级之间缺乏有效的目标对齐和信任机制
- 项目初期缺乏数据支撑和明确方向，运营人员处于"混日子"状态，没有收获感、成就感和幸福感 → 本质是项目缺乏阶段性里程碑和正向反馈机制
**加班现象严重，尤其是下半年。** 后期部门基本处于持续加班状态，晚上、周末均难以正常休息。归因如下：
- 直接原因是人手不足，商务端业务信号断断续续，给管理层造成"不需要招更多人"的错觉，但积累的人脉资源又带来不确定性，导致未能及时补充合适人数 → 本质是**人力资源规划缺乏前瞻性，对业务波动的预判能力不足**
- 老板承认这是管理层的判断失误，而非员工效率问题
**公司结余实际缩水。** 虽然总量提升，但成本增速高于收入增速，加上约百万元款项未收回，公司实际到账结余呈下降趋势。老板个人收入较去年减少约10万元，同时承担了约100万元的亏损风险。
**跨部门协作存在认知壁垒。** 老板指出行业普遍现象：商务部门可能认为"活都是我接的，都是我的功劳"，技术部门可能认为"商务就靠一张嘴"。公司内部也存在类似的理解偏差，需要通过员工述职来增进跨部门了解。
**个别员工存在沟通能力短板。** 欧阳小元被指出沟通能力需要"爬坡"，李国宇被指出沟通能力存在问题且"很严重"，张文倩在法院项目中与甲方沟通吃力，对方"总是在踢皮球"，导致标准不明确。
**拍摄与后期激励存在不平衡。** 老板明确表示年终奖和奖项侧重于后期部门，后期奖金比前期（拍摄）高一截，拍摄人员即使拿到年终奖也不会比后期少，但这一侧重是老板唯一愿意解释的分配逻辑。同时，部分员工对参与拍摄工作配合度不高，存在直接回复"没空"的不职业现象。
---
# 改进计划
**成本控制方面：** 明年开会时将专题讨论成本控制问题，但本次会议未提出具体方案、责任人或时间节点。
**短视频部门：** 明年目标是账号开始变现，老板承诺投入更大精力并给予足够重视。直播已具备变现条件（场均5000+人），但课程产品尚未跟上，需补齐这一环节。
**拍摄能力建设：** 鼓励更多员工参与拍摄，目标是"每个人都能参与一下"，至少能应付基本拍摄任务，以降低外援成本。员工被领导询问时不应直接说"没空"，而应解释手头工作或勉为其难安排，这是基本的职业素养。
**商务部门：** 老板承认对商务部门的支持、管理、关心不够，明年将反思并改进。对于张启，老板表示后续会给予更多项目支持和帮助。
**管理层自我改进：** 老板承认2023年对公司的关心关注不够、管理不够雷厉风行，明年将反思管理问题。同时承认加班问题本质上是管理层未及时招聘合适人手的判断失误。
**员工个人层面：** 李国宇、欧阳小元等被指出沟通能力需提升；张启自评效率、时间管理、与同事及甲方的沟通均未达自身预期，明年将改进。
**激励与仪式感：** 明年将延续年终奖和颁奖机制，具体额度明年开会时再定。</t>
  </si>
  <si>
    <t># 全文摘要
本次会议为小区业委会、业主代表与物业公司就小区服务质量问题及业主大会召开事宜进行的沟通协调会。会议期间，业主代表列举了小区自交房以来存在的十大类问题，包括门柱灯未开启、水系从未运行、监控损坏、可视对讲服务荒废、绿化维护缺失、北侧围墙缺失、民生配套未落实、雨水倒灌、物业人员配备不足等。物业方则从经营亏损、地产遗留问题、费用不足等角度进行回应，并宣布已就业委会成立及运作过程中的违法问题向法院提起诉讼。双方矛盾尖锐，无法达成调解共识，最终决定依法推进业主大会召开及后续表决程序。
## 会议背景与目的
- 会议由办事处领导主持，旨在协调小区业委会、业主代表与物业公司之间的矛盾纠纷，寻求妥善解决方案。
- 小区业主自发组织接龙活动，约200名业主参与，主要诉求为尽快召开业主大会，对物业去留进行表决。
- 业委会工作组共设6个群，其中1个为业委会工作群，5个为业主群，最早的业主群自交房时已建立，已有5-6年历史。
## 业主方提出的主要问题
- **门柱灯问题**：每户入户庭院门柱灯自交房以来从未开启过。
- **水系问题**：内部水系及售楼处门口迎宾水系从未运行过，业主购买水系旁房产时支付了更高房价。
- **监控问题**：小区监控几乎全部损坏，上个月小区发生入室盗窃，派出所及刑警大队未能从监控获取任何数据。
- **可视对讲服务**：交房时配备的监控室24小时值班及一键直达功能，自王艳芳上任后已荒废。
- **绿化维护**：大量树木死亡，一进小区两侧已知至少死了三棵。业主曾报告树木生病，物业管家回复"经理说了，明年看看能不能发芽长绿叶"。
- **北侧围墙**：长期使用烂铁皮遮挡，最西边有缺口，社会人员可随意进出。业委会责令整改后，物业拆除铁皮但未安装新围挡，并哄骗业主称已定制，后经证实并未定制。
- **民生配套**：快递柜、直饮水机、宽带覆盖、暖气开通开户等问题多年无进展，最终由业委会全程办理。
- **雨水倒灌**：自2019年起每逢大雨，业主家中不同程度财产损失，多次反映无果。
- **人员配备**：物业办公室人员从最初近10人减至4人（含经理），维修人员从5人减至2人，人员配备严重不足。
## 物业方的回应与立场
- **门柱灯**：因园区能耗成本过高，物业已无法承担运营费用，曾与业委会沟通，业委会承诺支持全员缴费并协助收费，收上费用后拿出一部分进行修复。
- **水系问题**：自交付起存在严重质量问题，所有泵无法正常运转，属地产配套未完成，应由地产维修，不属于物业责任。
- **监控问题**：维修监控需要费用，已超出物业运营承担能力。物业方称在警察进入园区时已第一时间将拍摄画面截取给派出所和刑警，并称有刑警调取监控的照片和记录。
- **绿化问题**：业委会今年10月成立并备案，此后进入冬季，不具备换树条件。
- **北侧围墙**：物业称该位置在红线以外，不属于物业服务范围，且涉及法律官司，本身属于违建。曾协调施工单位定做，但因费用过高未果，费用本应由物业承担，但物业账上无钱。
- **民生配套**：根据建设条例和前期配套要求，属于地产前期配套问题，后期开通费用应由业主承担。
- **雨水倒灌**：园区地势四周高中间低，车库设计为斜坡向下，属地产前期设计建设问题，超出物业解决范围。
- **经营状况**：物业称业主欠费170多万，回款仅40万。园区物业费收入约100多万，仅人工成本就100多万，加上垃圾清运费、能耗、维修、税费等，每年亏损。今年维修费已花几十万。
- **起诉声明**：物业方称已就业委会成立及工作过程中的违法情况（包括选举违法、欠费人员担任业主代表、煽动业主等）与集团法务沟通，将于本月正式起诉。已与滨城区人民法院及高级人民法院电话沟通（上午9:52通话），掌握业主群内相关证据截图。
## 双方争议焦点
- 业主方认为物业服务没有滞后性，不能以先收钱作为服务前提，且所列问题为交房以来的时序性问题，并非物业方近期入驻后才出现。
- 物业方认为所有问题均需资金解决，而业主欠费导致物业无力投入，业委会一方面承诺协助收费，另一方面在业主群中号召不要缴费，属于阻碍正常经营。
- 物业经理曾对业主说"你不交物业费我们就上你家吃饭去"，业主方认为此言论不当，物业方要求业主提供录音证据。
- 业委会成员表示，业委会成立之日即自动解除与物业的合同关系；物业方则表示诉讼期间无法更换物业公司。
## 会议结果
- 办事处领导建议双方互相理解，物业拿出实际行动赢得业主信任，但双方分歧过大，无法达成调解。
- 业主方表示将正常推进业主大会召开及表决程序，物业方表示将依法提起诉讼。
- 会议未达成实质性解决方案，双方决定各自走法律程序。</t>
  </si>
  <si>
    <t># 研讨背景与议题
本次圆桌论坛围绕具身智能领域的前沿核心议题展开，汇聚了来自学术界与产业界的多位专家及博士生。与会者包括在多模态大模型与具身智能融合方向深耕的主持人、在强化学习领域有深厚积累的博士生、在数据采集与柔性物体操作方面有丰富心得的薛寒博士、在具身模型与世界模型方面有建树的志龙博士，以及多位在计算机视觉、机械工程、强化学习等领域的资深学者和产业界嘉宾。
研讨围绕四大核心议题展开：**具身智能大模型的架构形态与收敛方向**、**世界模型在CV与RL领域的认知差异与融合可能**、**强化学习与模仿学习在策略学习中的最终路线**，以及**仿真数据与真实数据的Scaling Law路径**。与会者从算法、硬件、数据、产业投资等多维度进行了深入的思想碰撞。
# 核心观点
## 议题一：具身智能大模型的架构形态与硬件协同
**关于端到端模型的架构争议**：主持人提出，当前具身智能存在大脑大模型、小脑大模型及纯端到端模型等多种路线，国际上有以π零（π0）为代表的团队收集了6000多小时数据训练出可work的端到端模型。核心问题在于：是采用统一的端到端模型，还是前段固定、后段作为Action refiner的分层架构。
**关于机器人形态的讨论**：机械领域的专家提出"机械智能"概念，认为硬件本身的顺应性（如软手的摩擦与顺应性）可以弥补算法误差。与会者讨论了人形机器人与特种机器人并存的未来格局——人形机器人因现实环境为人设计而必然存在，特种机器人则在工业制造中已实现97%以上的自动化。
**关于硬件与模型的耦合关系**：王岳老师提出重要观点——如果大模型从最上层直通最底层，将消除硬件迭代的可能性。他以"手断了但大脑仍能工作"为例，论证大脑（大模型）与小脑（底层控制）应当解耦，小脑需要自适应肢体变化，而非整个模型重新训练。
**关于硬件期待**：薛寒博士指出，具身智能实验需要硬件具备高寿命和高可靠性，现有工业机械臂并非为大规模真机评估设计，需要柔顺的硬件结构支撑规模化评估。主持人补充了软硬件协同进化的案例——松灵机器人两代产品的迭代差异，以及加入凝胶的夹爪在触觉反馈和摩擦力上的提升。
## 议题二：世界模型在CV与RL领域的认知碰撞
**CV视角的世界模型**：赵昊老师认为，计算机视觉发展多年就是为了动态重建物理世界，CV界追求的三维表征可以作为RL中world models的工具。但三维计算机视觉技术栈较长，RL领域的博士生难以在博士阶段完全掌握，导致RL领域不太关注三维表征。
**RL视角的世界模型**：志龙博士从强化学习历史出发，指出world models概念可追溯至1990-1991年Sutton的Dyna-Q文章，其核心是可交互的黑盒模型，输出下一时刻的观测。RL领域追求的世界模型第一要义是**可交互性**（因为最终目的是学策略），其次是物理规律的体现，最后才是引入3D等多模态信息。
**关于Inductive Bias的争论**：赵昊老师提出"数据-偏置权衡"的第一性原理——数据量足够大时需要的inductive bias变少，数据少时需要更多inductive bias。他以朱松纯老师的学派与ImageNet的成功对比为例，指出学术界在"是否需要inductive bias"上呈螺旋前进状态。
**关于世界模型统一性的分歧**：王岳老师提出"歧义问题"论证——游戏主角从楼上跳下能稳落地，现实中同样动作会死亡，一模一样的观测输入需要不同的输出，因此一个世界模型难以同时建模两个不同的dynamics。他主张**world models最终应该是多个，而policy有可能是一个**。薛寒博士提出反方观点：可以通过在模型中增加condition（如"这是游戏"或"这是现实"）来实现统一，但王岳老师回应称，将M个独立模型装进一个高维condition模型，工程难度可能远超维护M个独立模型。
## 议题三：强化学习与模仿学习的路线之争
**产业界视角**：产业嘉宾介绍了公司采用"模型强化+机理融合"的混合方案。其核心观点是：监督学习面对高维动作空间时数据分布远不足以覆盖；纯强化学习强依赖仿真环境，sim-to-real迁移困难。实际部署中应通过任务分层——上层用强化学习做决策，底层用MPC、DWA等传统方法执行，实现整体性能提升。
**学术界视角**：薛寒博士认为，复杂任务的最终解法必然是"先模仿后强化"——模仿提供好的先验信息，降低样本复杂度，强化在此基础上优化至超越专家水平。他援引AlphaStar和GPT的发展路径作为佐证，并指出单独模仿无法达到专家水平（除非任务本身就是模仿专家行为），单独强化也因样本复杂度不可接受而难以从零训练。
**关于真机Reward获取**：王岳老师提出关键方法论——PID控制天然包含反馈环节，凡是PID能做的系统必然存在反馈信号，这个反馈可以直接作为强化学习的reward。因此，强化学习在真机上的可行性取决于任务本身是否具备可获取的反馈信号。
## 议题四：数据采集与Scaling Law路径
**真实数据采集的经验**：杨立新老师分享了高质量数据采集的核心心得——**视角控制与标定**至关重要。Open X等数据集因融合多家数据导致相机视角无法固定，影响模型表现。其团队在采集时严格控制视角和标定，并强调不仅要记录本体信息，还要记录物体运动信息。
**关于互联网数据的局限**：薛寒博士指出，互联网视频数据与机器人所需数据存在本质差异——人们不会拍摄"如何把衣服从洗衣机里揉成一团的状态展平"这类日常但机器人最缺的数据。她提出终极数据采集形态可能是脑机接口或肌电方式，现阶段可通过可穿戴设备在人们日常活动中无感采集多模态数据。
**仿真数据的价值与局限**：主持人指出，仿真数据加上少量真机数据（如300条仿真数据+20条真机数据）能显著提升策略成功率，但纯仿真数据直接迁移到真机成功率很低。柔性物体仿真目前面临算力要求高、先进仿真技术人才稀缺的瓶颈。
**关于无标注数据的展望**：赵昊老师提出，2025年应迈向大规模利用无标注真实数据的新阶段，类比Segment Anything和Depth Anything的成功，认为这将成为自动驾驶和具身智能领域的新主题。
**产业投资视角**：产业嘉宾分析了具身智能融资的阶段性特征——当前10亿级融资相比自动驾驶、大模型、互联网时代规模很小，预计将经历四波变革：第一波后进入低谷，第二波达到自动驾驶融资规模，第三波达到大模型规模，第四波达到互联网规模。每波技术变革都将深刻改变具身大模型的硬件和云端模型形态。
# 达成共识与解决方案
1. **软硬件协同优化是必然范式**：具身智能不是纯算法问题，硬件（如夹爪的凝胶材质、柔顺结构）与算法需要协同进化，硬件寿命和可靠性是规模化部署的前提。
2. **复杂任务的策略学习应采用"先模仿后强化"的混合路线**：模仿学习提供先验、降低样本复杂度，强化学习在此基础上优化至超越专家水平。底层控制可保留传统方法（PID、MPC等），上层决策用学习型方法，实现分层融合。
3. **仿真数据与真实数据互补使用**：海量仿真数据（覆盖物体随机位置、朝向、初始状态）配合少量真机数据（20条左右）即可显著提升策略成功率，而非完全依赖某一类数据。
4. **世界模型与策略模型可以解耦**：世界模型可能因物理环境的歧义性而难以统一，但策略模型可以通过更长的观测窗口隐式适应不同物理环境，无需显式建模所有dynamics。
5. **数据质量的关键在于视角控制与物体运动记录**：高质量数据采集需要严格控制相机视角和标定，并同时记录本体状态与物体运动信息，而非仅关注本体数据。
6. **数据量决定inductive bias的需求程度**：数据充足时可减少先验偏置、采用更端到端的方式；数据稀缺时需要引入三维等inductive bias辅助学习。
# 未决分歧与后续探索
1. **端到端模型与分层架构的终极形态**：具身智能大模型最终是统一的端到端模型，还是大脑与小脑解耦的分层架构，尚未达成共识。王岳老师主张至少应分两层（大脑不变、小脑自适应肢体），但未形成定论。
2. **世界模型能否统一**：王岳老师认为一个世界模型无法同时建模存在歧义的不同物理dynamics（如游戏世界与真实世界），薛寒博士提出可通过condition机制实现统一，但双方对工程可行性存在分歧，未达成一致。
3. **强化学习与模仿学习的最终占比**：虽然认可"先模仿后强化"的混合路线，但对于最终收敛时两者的比例、以及是否会出现全新的学习范式，仍无定论。
4. **柔性物体仿真的技术瓶颈**：高精度柔性物体仿真（如布料、海绵）面临算力要求高、先进仿真技术人才稀缺的双重挑战，短期内难以突破，真实数据采集仍是解决柔性体操作的主要途径。
5. **国产仿真系统的产业前景**：主持人提出中国是否强依赖英伟达Isaac Sim生态的问题。赵昊老师回应称已有团队（如宋应）在布局国产替代，赌注是"脱钩卡脖子"的产业风险，但技术标准化后的商业格局仍不明朗。
6. **数据采集的规模化路径**：可穿戴设备、脑机接口等无感采集方案尚处于探索阶段，其精度能否覆盖遥操作数据的质量差距，以及能否真正实现数据量的数量级跃升，仍需验证。</t>
  </si>
  <si>
    <t># 庭审概况
本案为国家开发银行（上诉人）与云南东源电力股份有限公司、云南东源曲靖电力有限公司、招银金融租赁有限公司（被上诉人）金融借款合同纠纷上诉案。上诉人国家开发银行不服云南省高级人民法院（2018）云民初88号民事判决，向最高人民法院提起上诉。本案由审判员李少平担任审判长，与审判员魏文超、黄年、王海峰、葛洪涛组成合议庭，法官助理张瑞，依法公开开庭审理。
庭审围绕三个争议焦点展开：一、国开行对案涉设备是否享有抵押权，是否构成善意取得；二、一审判决对案涉借款罚息、复息的计算及起算日期是否认定错误；三、东源煤电、东源煤业是否应当连带给付违约金。经法庭调查、辩论及调解，各方当事人最终在合议庭主持下自愿达成调解协议。
# 原告诉称与被告辩称
## 第一争议焦点：国开行对案涉设备是否享有抵押权
| 方 | 诉讼请求/答辩意见 | 事实与理由 |
| --- | --- | --- |
| 上诉人（国开行） | 主张对案涉93项设备享有抵押权，一审认定正确 | 1. 国开行已按人民银行规定查询融资租赁登记系统，以抵押人曲靖电力公司名义查询，未显示任何融资租赁登记记录；2. 案涉设备为通用设备，无唯一标识码，无法按设备查询；3. 国开行已对抵押物所有权尽到审慎审查义务，包括工商登记、评估报告、现场核查等；4. 东源煤电2015年12月2日邮件中未明确告知设备存在融资租赁情形，融资情况统计表中招银租赁栏与国开行栏为并列描述，不能得出已告知的结论；5. 国开行作为金融机构，尽职调查应限于抵押人，不能无限扩大到关联企业 |
| 被上诉人（东源煤电、东源煤业、曲靖电力） | 主张国开行不构成善意取得，不应享有抵押权 | 1. 2015年12月2日邮件发送时间（12月2日）早于抵押合同签订时间（12月22日），时间节点吻合，并非单纯贷后审查材料；2. 融资情况统计表中两家公司抵押设备名称完全相同，且以红色标注突出显示，国开行作为专业金融机构应尽到注意义务；3. 国开行未提供证据证明其对设备进行了区分核查 |
| 被上诉人（招银租赁） | 主张国开行未尽审查义务，不构成善意取得 | 1. 国开行提供的融资租赁查询证书为2018年9月出具，不符合2014年93号文规定，应在抵押时点（2015年12月）进行查询；2. 借款人与抵押人构成100%全资控股关系，国开行对东源煤电的审查义务应当具备；3. 东源煤电将设备出资给曲靖电力系无权处分行为，曲靖电力未取得设备所有权；4. 招银租赁2012年设备交付时即取得所有权，早于国开行2015年抵押登记；5. 国开行未在抵押时点进行融资租赁登记查询，违反行业规范 |
## 第二争议焦点：罚息复息计算及起算日期
| 方 | 诉讼请求/答辩意见 | 事实与理由 |
| --- | --- | --- |
| 上诉人（国开行） | 主张利息计算至2018年6月12日，罚息自2018年6月13日起算，复利自2018年3月21日起算 | 1. 东源煤电利息支付截止2017年12月20日；2. 2018年6月13日国开行向东源煤电、东源煤业发送偿还贷款本金的函，宣布贷款提前到期；3. 借款合同第6条第4款明确约定对逾期借款利息按罚息利率计收复利，有合同依据；4. 东源煤电已构成严重违约，且未提起上诉，一审已支持罚息复利部分，依不告不理原则应予维持 |
| 被上诉人（东源煤电） | 主张罚息起算日期不应为2018年6月13日，罚息不应作为复利计算基数 | 1. 合同第24条第2款第2项约定宣布贷款提前到期时应给予限期偿还，限期偿还与立刻偿还是不同概念，当天发函要求当天全额偿还不合理；2. 人民币利率管理规定第21条仅规定贷款期内不能按期支付的利息按罚息利率计收复利，未规定罚息计收复利；3. 合同第6条第4款表述为"利息"而非"罚息"，合同约定不明确；4. 最高人民法院2015年、2016年相关判例支持罚息不能作为复利计算基数；5. 合同为国开行提供的格式文本，按格式合同解释规则应作出对提供方不利的解释 |
## 第三争议焦点：违约金问题
| 方 | 诉讼请求/答辩意见 | 事实与理由 |
| --- | --- | --- |
| 上诉人（国开行） | 主张东源煤电、东源煤业应连带给付违约金 | 1. 借款合同第24条第3项明确约定违约责任，被上诉人出现违约事项应支付千分之一的违约金；2. 东源煤电未按合同第13条、第14条约定配合办理账户管理及柜台前移手续；3. 违约金、罚息、复利合计未超过法定最高标准 |
| 被上诉人（东源煤电） | 主张不应支付违约金 | 1. 国开行未举证证明东源煤电存在违反柜台前移和账户管理的行为，举证不能的后果应自行承担；2. 按合同约定，国开行应先限期纠正，不予纠正后方可主张违约金，但国开行始终未发出任何书面纠正函件 |
# 举证与法庭调查
## 一、关于融资租赁登记查询问题
**法官询问要点：**
1. **融资租赁登记的性质及法律后果**：合议庭询问各方对中国人民银行征信中心融资租赁登记性质的理解。
   - 国开行认为：属于行业内的强制性规范，目的是防范金融风险，防止动产设备多处抵押或融资租赁与抵押冲突。
   - 东源煤电认为：仅为行业指导性规范意见，非强制性规范，不当然产生物权后果。
   - 招银租赁认为：并非法定物权登记，仅为权利公示，强化动产权利外观，可能产生对抗效力，但不影响所有权设立转移等法定效果。
2. **融资租赁登记系统的查询方式**：合议庭询问央行融资租赁登记系统的查询方式。
   - 国开行答复：目前只能使用一种查询方式，即按查询单位（公司名称）查询。
   - 招银租赁答复：可通过两种方式查询——按公司名称查询和按设备情况查询。按设备查询涉及种类物的区分问题，需对设备特定化做到详细登记。
3. **案涉5套设备的识别码登记情况**：法官询问招银租赁在登记时是否登记了设备唯一识别码。
   - 招银租赁答复：案涉5套设备交付时属种类物，无唯一识别码，未进行登记。设备铭牌上仅有型号和参数，只要是同型号设备铭牌均相同。初始登记时将租赁物清单作为附件整体上传，包含设备名称、数量、原值、净值、出厂时间、生产厂商及存放地点（恩洪矿区煤矸石电厂）。
4. **查询义务的程度**：合议庭询问违反查询规范导致的法律后果，以及查询义务是基本义务还是全面审慎义务。
   - 国开行认为：属于基本查询义务，针对抵押人曲靖电力公司进行查询即可，审慎调查义务已完成。
   - 招银租赁认为：属于对银行业的严格义务，银行未查询即不构成善意。本案中恩洪矿区煤矸石电厂仅有2台汽轮机、2台发电机、2台锅炉，综合信息足以确定设备唯一性和特殊性，已达到引起国开行注意的程度。
5. **通过其他途径知晓融资租赁是否等同于查询**：法官询问若银行通过其他途径了解到抵押物属融资租赁物，是否相当于已掌握风控情况。
   - 国开行认为：查询是基本义务，必须履行，但查询动作完成即可得出自己的结论。
   - 招银租赁认为：即使通过其他方式获知，仍须通过央行系统查询，因其他方式在争议解决中难以证明，央行通知规定是确定标准。
6. **举证责任分担**：法官询问融资租赁司法解释第9条第2款举证责任如何分担。
   - 国开行认为：按谁主张谁举证原则，争议焦点在于查询范围和查询主体。
   - 招银租赁认为：第9条列举的三种明确方式中，第1、2、4项应由出租人举证，第3项（查询义务）应由第三人（国开行）举证。国开行仅查询曲靖电力公司不成立善意，应扩展调查东源煤电，核查设备权属是否完整无瑕疵。
## 二、关于登记信息冲突问题
**法官询问要点：**
合议庭询问各方对因不同登记机构产生的登记信息冲突的看法及建议。
- 国开行认为：动产抵押登记（工商部门）与融资租赁登记（人民银行）系统信息不统一、相互隔离，是系统性、条块化分割导致的问题。建议推动信息互联互通，完善市场有序性，避免动产抵押市场信誉受损。
- 东源煤电认为：系统整合和相互衔接确有必要，但作为非专业机构提不出成熟建议。
- 招银租赁提出三点建议：一是从立法层面统一对金融主体和市场主体的要求；二是发挥行业协会作用，形成行业惯例；三是从操作和技术层面实现登记平台信息互通，同时企业主体也应主动进行抵押登记或所有权登记。
## 三、关于国开行内部风控流程
**法官询问要点：**
法官询问国开行贷款前审查风控资料中是否有内部规定要求必须查询融资租赁登记系统，未查到结果时是否需将查询单作为风控材料留存。
- 国开行答复：按央行规定在办理动产抵押时须查询融资租赁系统，但因未查询到相关记录，故未保留筛查记录。内部无规定要求未查询到结果时需留存查询单。国开行认为，从当时至今系统均无曲靖电力公司设备融资租赁登记记录，说明查询行为无过失。
## 四、关于东源煤电出资行为
**招银租赁主张：**
东源煤电将设备出资给曲靖电力公司系无权处分行为。招银租赁2012年即取得租赁设备所有权，国开行2015年办理抵押登记在后。工商抵押登记公示的是出资行为而非动产公示，曲靖电力公司未取得设备所有权。
**国开行反驳：**
1. 设备交付到货与设备安装调试是两个概念，设备交付时东源煤电即取得所有权，招银租赁同时获得租赁设备所有权。
2. 招银租赁提交的审计报告（证据82页、95页）已载明曲靖电力公司注册资本4亿元已实缴，招银租赁有理由知道或应当知道设备出资情况。
## 五、关于上海中院判决与本案的关系
**国开行主张：**
上海市中级人民法院一审判决仅限东源煤电对设备的返还义务，未明确确认设备所有权归招银租赁所有。本案审理的是担保物权，担保物权与所有权可以并存，上海中院判决不构成本案审理的实质性障碍。
# 庭审结果
经合议庭评议，结合我国动产担保及融资租赁登记不完善的现实背景，合议庭认为统一处置争议的5套设备在内的整体设备能够最大化保护各方当事人利益，据此提出调解方案并征求各方意见。各方当事人对调解方案均无异议，自愿达成调解协议，主要内容如下：
1. **债权确认**：国开行对东源煤电的债权扣除破产中已清偿的本金外，利息（2017年12月21日至2018年6月12日）合计2179.5727万元，罚息（2018年6月13日至2019年2月19日）合计4105.0579万元，复利（2018年3月21日至2019年2月19日）合计191.8206万元，三项共计6476.4513万元。
2. **权利确认**：在东源煤电、东源煤业破产重整程序中，已确定招银租赁对涉案6项设备享有所有权，对应债权数额1377.4137万元；确定国开行对93项设备享有抵押权。
3. **设备处置**：招银租赁和国开行对案涉全部发电设备整体盘活处置，从变现款中实现各自债权。调解书生效后20日内由国开行向一审法院提出执行申请启动司法处置程序，变现价款双方各得50%，实现费用双方各担50%。未实现债权待执行法院出具体本裁定后按破产重整计划预留方案实现；若破产管理人不予纳入预留方案，由东源煤电按此前有担保清偿方案予以清偿。若司法变现不能，双方权益通过前述方法实现后均放弃对案涉设备的权益，由东源曲靖电力自主生产经营。
4. **其他约定**：案涉设备管理费用由东源曲靖电力承担，东源曲靖电力无条件配合司法处置。各方对一审判决第2项、第4项无争议，按判项内容在调解书中确认。一审诉讼费用中国开行诉请部分按一审判决执行，招银租赁诉请部分由二审法院按规定计算后由国开行承担；二审诉讼费用由国开行和东源煤电各承担50%。协议签订后各方就本案涉及问题不再存在任何争议。
合议庭确认各方自愿达成的调解协议不违反法律规定，予以确认，并将根据《中华人民共和国民事诉讼法》第97条规定出具调解书。审判长指出，本案审理发现动产抵押权与融资租赁物所有权的冲突是司法实践中的普遍性难题，根本原因在于国家尚未建立统一的动产登记制度，现有动产融资租赁登记系统和动产抵押登记系统缺乏有效衔接。合议庭将根据最高人民法院关于加强司法建议工作的意见，向有关部门提出司法建议，共同推进国家治理现代化。</t>
  </si>
  <si>
    <t># 项目概况
本次会议为原占比二玉米面加工厂项目中期验收会议。验收组于18日、19日提前介入项目前期摸排工作，20日召开首次会议，截至目前已完成卢萨卡点（除带料加工调试外）及蒙蒙泽点的全部验收工作。其中蒙蒙泽点利用前方厂家资源，顺带完成了全流程试生产及外方人员操作培训。某皮卡点现场验收尚未开展，其内业资料已提前送至卢萨卡。会议通报了内业检查、外业检查（建筑、安装、设备）的整体情况，提出了人员履约、内业资料、现场实体等方面的整改要求，并明确了后续工作安排。
# 进度追踪
## 一、验收工作总体进展
| 工作点 | 验收进展 | 状态 |
| --- | --- | --- |
| 卢萨卡点 | 已完成除带料加工调试以外的所有验收工作 | 🟢 正常 |
| 蒙蒙泽点 | 已完成全部验收工作，并顺带完成全流程试生产（含外方人员操作培训、产品生产过程验证） | 🟢 正常 |
| 某皮卡点 | 现场验收尚未开展，内业资料已提前送至卢萨卡 | 🔴 待推进 |
## 二、内业检查情况
- **项目执行团队**：管理组和技术组基本能够按照项目合同从开工到过程中组建整个项目执行团队，并按相应流程和程序开展工作。受疫情及项目特殊情况影响，主要人员基本能保证在前方岗位，满足目前工作验收和后续工作需求。
- **管理文件与程序性文件**：项目执行团队能够按照合同及相关规范和标准，编制施工组织计划、管理计划、实施细则及各项专项预案，从工程质量、安全、环境、职业健康、合同管理、实验检测等方面开展工作。验收组通过分组分时段对程序性文件执行、检查整改闭合管理流程进行了资料查阅、现场抽检和问询交流，基本评价为满足项目有关标准和规范要求。
- **质量控制文件**：施工单位（技术组）和管理单位能够严格按照项目从开工到工艺工序的流程，完成过程中的每一个工序的检查、质检、报检和验收评定程序，相关资料按分类与工程组成检验批相匹配的方式收集整理。
## 三、外业检查情况
### 1. 建筑部分
- 卢萨卡及蒙蒙泽厂区建筑部分已完成现场抽检和量测，抽检比例依据施工单位的质检和管理单位抽检评定频率，按照规范和标准在全方位、全领域的一定百分比范围内执行。
- 原材料使用方面：主要建筑工程除国内采购出口的建筑材料外，预制构件、广场地砖等主材均从卢萨卡大规模、成建制、有一定质量管控体系的供货单位集中预制采购，从200多公里以外运输至现场。项目内在品质通过资料查验、外在表观通过现场抽检检测，达到较好标准。
- 最终结论待资料完整整理结果出来后确定。
### 2. 安装部分
- 以钢结构为主，所有材料均从国内定制发货至现场。从施工工艺、吊装精确度到现场外观质量，均满足规范和标准要求。
### 3. 设备部分
- 执行单位与中粮西安设计院及相关厂家签订专项供货合同，设备参照中国标准，结合前方原材料供应情况及玉米样品检测结果，按输出产品分为三类标准专门定制生产三套成套设备。
- 设备进场安装过程中，厂家高峰期曾派十几名工作人员到现场指导安装。目前前方仍有厂家团队（含数名成员）与技术组、管理组驻厂专家一起，在蒙蒙泽点继续开展全流程调试试运行、带料加工及产品流水线培训和交底。
- 验收组对工艺设备进行了逐台复核（复核设计、规范及施工图纸要求），并进行了投料试运行。工艺设备运行正常，工艺流程满足生产要求，产能符合设计指标（已通过计时测算验证），机电设备安装符合国家质量检验有关标准。
## 四、财务检查情况
财务验收专家对本项目财务资料进行了查阅，并与相关人员沟通。本项目财务在账户设置、资金往来、银行开户等方面完全符合财务处理的有关规范和标准。
# 风险预警
| 风险/瓶颈 | 等级 | 影响 | 责任人 | 应对计划 |
| --- | --- | --- | --- | --- |
| 人员履约与合同履约资料不闭合 | 🟢 正常 | 个别人员进出场时间及护照信息不完善，个别岗位存在人员更换流程待完善，个别特种人员证件有效期未及时更新，人员统计口径未包含厂家服务人员 | 管理组、技术组（施工方） | 会后完善人员统计（含厂家服务人员），与国内人力资源对接证件延期更新事宜，在形成验收报告前完成资料闭合 |
| 内业资料分类整理及签字规范性不足 | 🟢 正常 | 程序性文件、过程检查文件、整改文件虽已具备，但分类整理及少量质检和管理机构验收签字规范性需完善；竣工文件尚未完全集中组卷 | 技术组（施工方） | 验收后抓紧按项目执行标准和规范，将三个厂区资料汇总至卢萨卡，分类成册，按竣工文件归档要求及时组卷（含竣工图），验收组可配合补充完善 |
| 混凝土路面局部开裂（蒙蒙泽厂区） | 🔴 风险 | 非主要通道范围内少量混凝土路面出现开裂，已发现当地工人处理效果不佳；需分析成因（当地气候/施工工艺/材料原因），防止移交外方后出现大面积开裂，造成对外影响 | 管理组、总包单位（技术组） | 管理组与总包单位共同研究制定科学合理的整改方案，分析开裂成因，采取切实可行措施（最不利情况可局部处理），最迟在出报告前完成整改并形成闭环，验收组将进行复核 |
| 局部装饰装修损伤及厂区卫生 | 🟢 正常 | 因原计划验收时间在数月前，部分装饰装修位置存在局部损伤，需在正式交付前检查修补并打扫卫生 | 技术组（施工方） | 正式交付前完成局部损伤检查修补及卫生打扫 |
| 雨季排水系统隐患 | 🟢 正常 | 雨季即将来临，需检查厂区及办公区排水系统（屋面排水、室外通道）有无阻塞 | 技术组（施工方） | 做最后一次清理和排查工作 |
| 设备监控管线接头脱落 | 🟢 正常 | 设备启动震动导致监控管线接头处脱落（如转子转速数据采集管线），可能引起机械故障 | 技术组（施工方） | 伴随设备调试进行全面检查，确保有效性和安全性 |
| 卢萨卡点提升通道雨水倒灌隐患 | 🟢 正常 | 加工提升桶往上位置（约30见方通道），赞比亚雨季雨量大且风大，雨水可能倒灌 | 技术组（施工方） | 检查原设计是否足以解决防水问题，必要时采取技术措施（如增加覆盖面积等） |
| 廊桥安全防护不足 | 🟢 正常 | 卢萨卡点廊桥端头横向仅分布三个竖条，其余为横条，视觉安全感不足，存在巡检维护人员安全隐患 | 技术组（施工方） | 建议中间再加两个竖条，做一次检查和完善 |
| 不可预见费使用资料待完善 | 🟢 正常 | 本项目存在动用不可预见费的情况，有关依据、证据和数据需充分无误（涉及原合同、原设计、原投资控制基础上增加动用费用） | 施工单位、管理组 | 后续安排专项对接，完善资料收集整理 |
| 某皮卡点路途安全风险 | 🟢 正常 | 某皮卡点路途遥远，路况不佳，且赞比亚已进入大雨季，存在交通安全及疫情防控风险 | 验收组全体成员 | 注意交通安全及疫情防控，确保安全顺利完成验收任务 |
**整体项目健康度**：🟢 正常（存在1项需重点关注的风险：蒙蒙泽厂区混凝土路面开裂问题）
# 后续计划
- **某皮卡点现场验收**：会后及时安排前往某皮卡点开展现场验收工作，该点为最远验收点，需重点关注路途交通安全及雨季影响
- **整改闭合**：管理组与技术组会后共同细化检查问题清单，编制整改方案，逐一整改落实
- **蒙蒙泽厂区混凝土路面开裂**：管理组与总包单位共同分析成因，制定科学合理的技术整改方案，*最迟在出报告前完成整改并形成闭环*，验收组将进行复核
- **内业资料组卷**：验收完成后第一时间将三个厂区资料全部汇总至卢萨卡，包括竣工图，进行分类汇总、组卷及编码，按援外项目执行手册管理办法规定执行
- **人员履约资料完善**：加紧收集所有参与项目现场人员的护照及证书信息，完善人员统计口径（含厂家服务人员），与国内人力资源对接证件更新事宜
- **不可预见费资料完善**：验收组与施工单位做专项对接，完善不可预见费使用的依据、证据和数据资料
- **末次会议**：更多情况（含不可预见费使用等）将在末次汇报中进行沟通
- **验收报告**：待某皮卡点验收工作完成后，各工作组汇总信息，做出最终评价结论</t>
  </si>
  <si>
    <t># 发布会概况
本次会议为中金公司宏观策略团队举办的每周宏观策略争论电话会，由策略分析师刘刚（凯文）主持，围绕近期市场关注的多个热点议题展开讨论。会议核心内容包括：大美丽法案对美国经济、美股、美债及美元流动性的影响，关税谈判进展及市场影响，港股流动性分析，以及反内卷政策对光伏行业的影响。此外，会议还邀请了机械军工分析师郭文秀和传媒行业首席分析师张雪琴，分别就人形机器人和游戏板块的投资机会进行分享。整体基调偏积极，强调在结构性行情中寻找阿尔法机会，建议投资者在合适的位置布局长期正确的板块。
# 核心信息
## 一、大美丽法案要点及影响
**法案三大核心内容：**
- **解决债务上限**：提高债务上限约5万亿美元，消除违约风险，使政府恢复支出能力
- **减税条款**：并非新增减税，主要是延长2017年减税法案，避免年底自动失效导致大幅加税；新增支出约3.4万亿美元（每年约3400亿美元），同时削减其他支出（包括减少新能源补贴约1.4万亿美元）
- **取消899条款**：取消对海外投资者持有美债的利息所得征税条款，维护美元体系根基
**财政影响：**
- 关税收入（当前约10%-12%有效税率）每年可带来3000-4000亿美元收入，基本可覆盖每年3400亿美元的额外支出
- 财政赤字率预计维持在5%-6%区间，不会大幅攀升
- 下半年财政环比将改善（上半年受债务上限约束处于收缩状态）
**市场影响判断：**
- 7-9月存在流动性抽水效应，财政部需回补TGA账户，预计额外发债约1万亿美元（参考2023年三季度类似规模发债曾推高美债利率从3.8%至5%）
- 美债利率近期已在上行，但未必必然导致大跌；期限溢价已处于2013年以来高位
- 美股美债若出现波动，将提供再配置机会，整体并不悲观
## 二、关税问题更新
**四点核心判断：**
1. 关税一定会做，用于支撑财政收入和支出
2. 需维持一定税率水平（当前豁免10%左右的水平即可收上来3000-4000亿美元）
3. 税率不能太高，否则通胀受不了
4. 市场逐渐脱敏，出现"tackle交易"（静观其变）
**最新变化：**
- 达成时间变相拖后（原定7月9日）
- 相比4月2日对等关税水平，大部分国家税率反而回落（巴西除外）
- 加拿大、墨西哥、欧盟被单独对待，因贸易占比较高；其他国家即便税率翻倍对有效税率影响也很小
- 当前有效税率约10%-12%，极端情况下回到18%
- 通胀压力存在但不会大幅上升，年底通胀预计在3.3%-3.4%左右
- 关税延长可视为缓兵之计，有利于补库
**对华关税关注点：**
- 当前对华关税约40%-50%
- 越南、英国达成的协议均包含转口限制（越南转口限制为40%），需关注8月12日中美谈判进展及转口限制问题
## 三、港股流动性分析
- 7-9月美债利率走高、美元流动性供给压力，叠加四季度美元可能小幅走强，对港股流动性边际偏负面
- 港股5月后微观流动性明显释放，HIBOR利率大幅下降（金管局投放大量资金），但港币汇率已触及7.85弱方兑换保证
- 金管局一定会回收流动性以维护联系汇率制度，但可采取小幅回收方式延缓收紧速度
- 三季度流动性供给不如二季度，叠加IPO融资较多形成约束
- 恒生科技指数尚未回到对等关税前水平，港股在对等关税后跑输全球市场
## 四、光伏行业反内卷分析
**行业背景：**
- 全球新增光伏装机从2020年130GW上升至2024年530GW，4年复合增速达42%
- 2025-2026年全球光伏需求增速预计回落到10%左右
- 供给侧产能严重过剩：电池产能为当前需求的1.5倍，硅片组件为2倍，硅料达2.5倍
- 2022年以来产业链价格下跌70%-90%；硅片电池自2023年四季度开始亏损，硅料组件自2024年二季度正式亏损
**政策进展：**
- 2024年以行业协会主导为主（5月17日光伏行业高质量发展座谈会等），收效不明显
- 2025年政策级别提升：2月国常会提出化解重点产业结构性矛盾；6月29日起连续5天上层发声（人民日报发文、7月1日中财委第6次会议、7月3日工信部光伏企业座谈会）
**各环节分析：**
- 硅料环节最易切入整合：集中度高（在产企业不到20家）、成本曲线陡峭（颗粒硅现金成本约28元/公斤，尾部厂商高达45元/公斤）、供需比超200%
- 电池组件环节整合较难，较为分散；电池环节供需情况相对最好（PERC电池已基本退出，TOPCon占90%市场份额，BC技术渗透率提升至5%-6%）
- 光伏玻璃已开始第二轮产能出清，7月计划降产30%，需出清约2万吨方可修复供需平衡
**市场反馈：**
- 多晶硅期货价格大幅反弹，已触及40元/公斤（前一周约35元）
- 硅片报价上涨约10%，电池上涨约2分钱，组件涨幅相对靠后（约10%）
## 五、人形机器人行业分析
**二季度回顾：**
- A股机器人板块二季度（4-6月）按流通市值加权平均下跌约9%，跑输机械设备板块约12个百分点
- 特斯拉核心供应商标签股从3月高点普遍回调30%-40%
- 回调主因：特斯拉4月后宣布量产时间线继续延后，叠加中美关税影响
**三季度三大主线：**
1. **华为云生态开放**：6月底华为开发者大会首发盘古世界模型（支持点云和视频双模态同时生成），CloudRobot平台构建多模态生成模型、规划大模型、执行大模型三大能力；华为明确"不造机器人"，以RTC方式开放，有望探索AI agent收费或license收费模式
2. **本土人形机器人企业技术闭环**：智元机器人企图通过收购方式控股材料厂商在A股上市；宇树科技年收入突破10亿元，下半年有望加速上市；智元和宇树同时中标中国移动旗下接近1.2亿元人形机器人采购订单
3. **特斯拉延期带来的硬件替代窗口期**：Optimus存在电机过热、灵巧手负载不足、续航问题等硬件瓶颈，供应商仍在筛选中；轻量化（以塑代钢）是解决续航的重要方向
## 六、游戏板块分析
**政策环境：**
- 今年1月和3月国务院层面对传媒板块发布游戏行业相关支持政策，广东、浙江、北京、上海等地出台专门政策支持包
- 版号发放常态化：今年每月同时发放国产和进口网络游戏版号；6月单月发放158个（国产147个+进口11个），为2018年以来单月最高水平
**市场数据：**
- 2024年8月以来游戏市场单月持续正增长
- 今年1-5月游戏市场规模同比增长17%（1400多亿元），手游同比增长20%
**新品周期：**
- 今年并非大厂大作年份（腾讯、网易、米哈游均缺乏重磅作品），但中型厂商新品表现亮眼
- 吉比特《仗剑传说》首月流水2亿多元；巨人网络《超自然行动组》6月流水过亿，乐观年化流水20亿元量级，利润提升可达50%以上
- 大厂缺少大体量产品时，中型厂商获客成本友好，ROI表现良好
**估值水平：**
- TTM PE约30倍（2023年AI行情下曾到45倍），2025年静态PE约20倍
- 新品利润有滞后性，今年上新品利润更多在明年兑现
# 官方表态
## 关于去美元化共识
&gt; "我们并不是完全的认同去美元化这个观点的。这个现在成了一个高度趋同的共识。而且呢还有一个问题呢都是基于宏大叙事。"
&gt; "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关于美股创新高与信用周期
&gt; "4月底我们都用股债汇三杀，都用这个去美元化的一个观点，明显就错过了这一波反弹。"
&gt; "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
## 关于大美丽法案
&gt; "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
## 关于关税
&gt; "他一定要做，哪怕遇到各种各样的对吧？这是第1点。大概率要做。第2点呢就是这个需要维持一定的税率，因为你这个税率要不收上来，它对冲不了这3000~4000亿这个税率大概是多少呢？就现在差不多的水平。"
&gt; "他现在威胁的那么高，有可能是一个谈判技巧。或者你只能不能排除他不是谈判技巧，对不对？"
## 关于美股美债操作建议
&gt; "波动提供再配置的机会，我们重申我们这个观点并不悲观。背后的原因呢就是因为信用周期的再度转好，只不过三季度呢有一个流动性的波折，它要过一些坎儿。"
&gt; "如果我在之前已经拿到了这部分涨幅，我就可以先获利一下，在这等等观望一下。"
## 关于港股流动性
&gt; "美元美债利率它并不是绝对主导港股市场的唯一的变量，很多时候你自己的基本面强，完全可以盖过它的影响。"
&gt; "低迷的时候我积极的介入，亢奋的时候我要适度锁定一些利润。"
## 关于光伏反内卷
&gt; "随着反内卷的力度不断的强化升级，我们相信就是价格的恶性竞争有望告一段落。那至少呢对于行业来讲，它的这个夯实了它的一个底部。"
## 关于游戏板块
&gt; "我们认为在消费政策和新品周期三重利好下面，游戏行业有望在调整后再次实现戴维斯双击。"
# Q&amp;A环节
本次会议为内部策略研讨会形式，未设置外部媒体问答环节。各分析师在主题分享后，均表示欢迎投资者直接联系进行进一步交流。具体联系方式提示如下：
- 光伏行业相关问题可联系公用事业首席分析师刘佳妮
- 人形机器人相关问题可联系机械军工分析师郭文秀
- 游戏板块相关问题可联系传媒行业首席分析师张雪琴</t>
  </si>
  <si>
    <r>
      <t xml:space="preserve"># 课程概况
本节班会课以“梦想”为主题，由教师引导学生围绕梦想的定义、实现梦想所需的条件、个人梦想清单的制定等内容展开讨论与分享。教师结合自身从求学到从教的真实经历（包括考取中国美术学院单考合格但最终选择定向师范、大学期间保持专业排名第一等），以及航模爱好者何聪发和普通歌手追梦人的视频案例，引导学生认识梦想的价值，理解实现梦想需要坚持、努力、勇气、机会等条件，并鼓励学生写下自己的梦想清单，脚踏实地、一步步实现目标。
# 核心知识点梳理
## 一、梦想的定义与价值
- 每个人都可以拥有自己的梦想，如当保安、当喜剧人、当太空人、当世界冠军、当歌手等，**每一个梦想都值得被尊重**。
- 教师引用马云的名言：“**梦想还是要有的，万一实现了呢？**”
- 教师强调：“**不被嘲笑的梦想不是梦想**。”即使梦想在当下被人嘲笑，只要坚持努力，就有实现的可能。
## 二、实现梦想的必备条件
</t>
    </r>
    <r>
      <rPr>
        <sz val="11"/>
        <color theme="1"/>
        <rFont val="Segoe UI Emoji"/>
        <family val="2"/>
      </rPr>
      <t>⭐</t>
    </r>
    <r>
      <rPr>
        <sz val="11"/>
        <color theme="1"/>
        <rFont val="宋体"/>
        <family val="3"/>
        <charset val="134"/>
        <scheme val="minor"/>
      </rPr>
      <t xml:space="preserve"> 教师通过“梦想观察团”游戏（观察航模爱好者何聪发和想当歌手的普通人两个案例），引导学生总结实现梦想需要具备的条件：
| 条件 | 具体说明 |
|------|----------|
| **坚持** | 如航模爱好者何聪发不断挑战自己，从国内走向国际赛场 |
| **努力** | 天赋只是1%，后天努力更为重要；唱歌走调可以通过后天学习和训练调整 |
| **勇气** | 敢于站上舞台展示自己，不畏惧他人眼光 |
| **机会** | 机会永远留给有准备的人 |
| **兴趣与能力** | 对梦想领域保持热爱，并不断提升相应能力 |
| **学习** | 持续学习是实现梦想的重要途径 |
*易混点提醒：缺少某一个条件，梦想仍有可能实现；但若具备全部条件，梦想实现的速度会更快。*
## 三、梦想的调整与阶段性目标
- 梦想可以**一步步提高**：如航模爱好者何聪发从想在中国比赛，到想走向全世界。
- 梦想也可以**根据实际情况调整**：如考不进年级前50，可先调整为考进前100，再逐步向前50迈进。
- 教师建议采用**梦想清单**的方式：列出多个梦想，每实现一个就打勾，并记录实现所需时间和收获。
## 四、教师个人追梦案例分享
教师以自身经历说明追梦过程的真实性与曲折性：
1. **高中时期**：梦想考取中国美术学院，曾作为学生代表在国旗下讲话，当全校面立下目标，虽遭嘲笑但最终**单考（专业考试）通过**。
2. **大学选择**：因离家远、经济条件有限（学美术费用高，教师高中时期靠大家资助完成学业），最终选择**定向师范生**（免学费，毕业后回龙川县任教），为此曾哭三天，但如今热爱教师职业。
3. **大学期间**：
   - 加入学生会，参与举办新生晚会，认为能锻炼自己、认识优秀的人；
   - 参加校运会等各类比赛；
   - 保持本专业（41人）**排名第一**，坚持每天凌晨5点起床学习；
   - 考取教师资格证。
4. **职业理想**：梦想成为受学生喜爱的、有名望的优秀人民教师，目前仍在努力过程中。
## 五、成功案例：马云
- 马云中考考了两次才考上高中，高考也考了多次，但最终成为中国首富。
- 结论：**一个人的起点高低不重要，关键在于能否坚持**。
- 马云的新梦想：过去15年中国因阿里巴巴而改变，未来15年希望世界因他们而改变，他享受改变他人的乐趣。
# 课堂互动与答疑
## 学生梦想分享（课堂讨论环节）
教师请学生写下自己的梦想清单，并选取部分学生的梦想进行分享，典型案例如下：
- 有学生写下5个梦想：考试圆满通过、考上理想大学、娶贤惠的妻子、父母身体健康等。
- 有学生梦想成为流浪画家，了解各国历史；有学生希望多与同学拍照留念。
- 有学生梦想考630分、拥有健康身体、每天开开心心、家人平平安安、世界和平、祖国越来越好。
- 有学生梦想改变打球动作、完成自定任务、成为设计师、大学4年攒20万、考上好大学、成为创业者。
- 有学生梦想考取师范大学，成为一名光荣的人民教师。
&gt; 教师点评：“我们要相信每一个同学的梦想，每一个梦想都很不错、很朴实。”
## 课堂互动要点
- 教师鼓励学生积极发言，分享自己的梦想，并肯定每一种梦想的价值。
- 有学生勇敢上台唱歌，教师表扬其勇气：“虽然是班里面同学起哄，但他还是很勇敢地站上这个讲台给同学们唱歌。”
- 教师提问“如果缺少了一个条件，梦想还会实现吗？”，引导学生思考梦想实现条件的相对性。
# 课后任务与学习建议
## 课堂任务
1. 每位同学拿出纸，写下自己的**梦想清单**，可列多个梦想（如老师示范：考上大学→优秀班干部→国家励志奖学金→优秀人民教师）。
2. 每个梦想需标注：**预计实现所需时间**、**实现后的收获**。
3. 写完后由每小组第一位同学收齐交给老师。
## 教师寄语与学习建议
- 梦想可以制定多个，也可以只制定一个；**先定小目标，再定大目标**，实现的几率会更大。
- 追梦过程中需要**量力而行**，若目标暂时无法实现，可以适当调整，通过努力和坚持去实现。
- 追梦的人是充实的，梦想之路或许会有挫折，但将来回头看时，会理解自己当初为何定下这些梦想。
- 教师提醒学生：机会留给有准备的人，要具备勇气去行动，同时坚持学习、提升能力。</t>
    </r>
    <phoneticPr fontId="4" type="noConversion"/>
  </si>
  <si>
    <t># 全文摘要
本文档汇总了2024年7月14日《新闻联播》的主要报道内容，涵盖文化自信与文明建设、赵乐际访俄、夏粮丰收、铁路货运、快递业发展、油气管网建设、防汛救灾、国内联播快讯、国际新闻等多个领域。核心要点包括：习近平总书记引领文化体制改革取得历史性成就，文化自信显著增强；全国人大常委会委员长赵乐际对俄罗斯进行正式友好访问并出席中俄议会合作委员会第九次会议；我国夏粮产量达2996亿斤创历史新高；6月份国家铁路货运多项指标稳定增长；上半年快递业务量超800亿件；油气管网建设加速推进；渝川皖等地积极应对降雨天气；以及国际方面特朗普竞选集会遭未遂刺杀、以军空袭加沙地带等事件。
## 文化自信与中华民族现代文明建设
- 习近平总书记以强烈文化自觉与历史担当，在“五位一体”总体布局中对文化建设作出战略部署，在全面深化改革中纵深推进文化体制改革，引领社会主义文化强国建设取得历史性成就
- 习近平总书记强调“我们五千年的文明，我们要尊重，也要弘扬，把它里边精华的东西和我们现在所坚持的马克思主义立场、观点、方法结合起来，这就是中国特色社会主义”
- 2023年6月，习近平总书记主持召开文化传承发展座谈会，系统论述中华文明的五个突出特性，阐述“两个结合”尤其是“第二个结合”的重大意义
- 2023年10月，全国宣传思想文化工作会议首次提出习近平文化思想
- 《深化文化体制改革实施方案》是中央全面深化改革领导小组审议通过的第一个专项小组改革方案；《关于实施中华优秀传统文化传承发展工程的意见》首次以中央文件形式对文化传承发展进行部署
- 文化领域供给侧结构性改革深入推进，文化旅游深度融合、非遗保护传承制度日益完善、公共文化服务体系不断健全
- 深入实施中华文明探源工程，高标准推进国家文化公园建设，中国共产党历史展览馆、国家版本馆等文化地标落成，《复兴文库》、“中国历代绘画大系”等重大文化工程出版
- 我国成为图书、电视剧、动漫等领域生产大国，数字文化产业成为激发消费潜力“新引擎”，电影市场规模屡创新高
## 赵乐际对俄罗斯进行正式友好访问
- 应俄罗斯联邦会议国家杜马主席沃洛金和联邦委员会主席马特维延科邀请，赵乐际于7月9日至13日对俄罗斯进行正式友好访问
- 在圣彼得堡会见总统普京，在莫斯科与马特维延科、沃洛金分别举行会谈，并出席中俄议会合作委员会第九次会议
- 赵乐际表示，今年是中俄建交75周年，在两国元首战略引领下，中俄新时代全面战略协作伙伴关系高水平、高质量发展
- 普京表示，俄中立法机构始终保持高水平合作，加强俄中议会合作委员会工作有利于两国交流经验、互学互鉴
- 赵乐际指出，两国立法机构要立足职能职责，用好中俄议会合作委员会、双边友好小组等机制和平台，深化多层级、多领域、多渠道交流合作
- 沃洛金表示，俄国家杜马不同党派在发展对华关系上高度一致，俄坚定恪守一个中国原则，反对任何外部势力干涉中国内政
- 7月10日，赵乐际出席中俄议会合作委员会第九次会议并致辞，提出密切战略协作、交流治国理政经验、发挥立法机构职能作用、传承弘扬传统友谊、加强多边协作等五点建议
- 访问期间，赵乐际在莫斯科向俄无名烈士墓敬献花圈
## 夏粮产量创历史新高
- 今年我国夏粮产量达2996亿斤，比2023年增加72.5亿斤，再创历史新高
- 夏粮单产每亩达到375.2公斤，其中小麦单产达399.1公斤，比2023年增加10公斤，单产实现恢复性增长是夏粮产量增加的主要原因
- 全国已建成高标准农田10亿多亩，农业农村部启动小麦单产提升三年行动，中央财政首次提前下拨16亿元小麦“一喷三防”资金
- 小麦质量为近年来最好水平，主产区一、二等小麦占比普遍较高
## 6月份国家铁路货运多项指标稳定增长
- 6月份，国家铁路发送货物3.32亿吨，完成货运周转量2665亿吨公里，同比分别增长6.1%、5.3%，创历史同期新高
- 我国铁路货运量、货运周转量等指标稳居世界首位
- 化肥农药运量增幅最大，同比增长26.2%；煤炭日均装车量，集装箱、商品汽车、冷链货物发送量等均创历史同期新高
- 多式联运快车已覆盖各省会城市，铁海快线班列已覆盖全国主要港口
- 6月份，中欧班列累计开行1719列，发送货物18万标箱，同比分别增长15%、11%
## 上半年快递业发展提速
- 今年上半年，我国快递业务量超800亿件，截至6月30日已达800亿件
- 快递企业已运行国际航线40余条，面向东南亚开通陆运专线，运行美西海运航线
- 每天超1亿多件快递包裹在农村地区流动，5—6月快递日均业务量近5亿件
- 快递业不断丰富服务场景，实现与制造业的融合发展
## 油气管网建设提速
- 预计全年新增管道里程超4000公里，“全国一张网”不断完善
- 西气东输四线已完成吐鲁番至中卫段主体管道工程建设，今年投产后西气东输年输气能力将提升150亿立方米
- 川气东送二线、虎林到长春天然气管道等工程加速推进
- 目前主干油气管网约10万公里，输气能力从2020年2230亿立方米增加到3290亿立方米，增幅达48%，天然气“全国一张网”日供气能力超10亿立方米
- 到2025年，将初步形成东北、西北、西南以及海上四大油气战略通道，建成“五纵五横”的天然气干线管网
## 渝川皖等地应对降雨天气
- 重庆28个区县出现暴雨，其中13个区县大暴雨，当地组织人员连夜抢险排涝
- 四川内江出现内涝、滑坡等险情，消防救援人员紧急转移被困群众
- 安徽多条河流水位上涨，滁州市全椒县工作人员加强巡堤，处置堤防渗漏和管涌
- 水利部针对“七下八上”防汛关键期逐流域安排防御
- 长江1号、2号洪水正在演进，三峡水库15日将迎来洪峰流量45000立方米每秒量级的洪水过程，水利部联合调度嘉陵江亭子口水库等上游干支流水库群减小入库洪峰流量
## 国内联播快讯
- 北京上半年320个市区重大项目全部开工，总投资超过4000亿元，包括丽泽数字金融科技示范园、温榆河生态治理工程等
- 燕矶长江大桥北岸主塔封顶，主跨1860米，连接湖北鄂州和黄冈，上层为高速公路、下层为城市快速路
- 第二十三届环青海湖国际公路自行车赛收官，来自国内外22支车队的154名运动员决出5个奖项冠军
- 内蒙古第34届草原那达慕在锡林浩特市开幕，主题为“相约草原遇见那达慕”，持续到8月底
- “中非儿童手拉手”活动在京启动，来自纳米比亚、南非、中非、索马里、乌干达五国儿童代表将在北京、河南两地参观访问
## 国际新闻
- 多国人士高度关注即将召开的中国共产党二十届三中全会，表示中国全面深化改革、扩大开放为世界提供更广阔的市场和发展机遇
- 美国前总统特朗普在宾夕法尼亚州巴特勒市竞选集会遭未遂刺杀，右耳中枪受伤，枪击造成一名观众死亡、两名观众受重伤，枪手为20岁左右男性，来自宾夕法尼亚州，已被特勤局狙击手击毙
- 以军空袭加沙地带南部汗尤尼斯马瓦西地区，死亡人数升至90人，约300人受伤，死伤者中包括许多妇女和儿童；巴勒斯坦总统阿巴斯谴责以军违反国际法，约旦、卡塔尔、埃及等予以谴责
- 以军袭击黎巴嫩多个边境村镇，黎巴嫩真主党武装打击以军集结地和情报设施
- 叙利亚首都大马士革多个地点遭空袭，造成1名政府军士兵死亡、3人受伤
- 俄罗斯国防部称使用“伊斯坎德尔-M”导弹打击哈尔科夫方向乌军军用火车停车点，摧毁20件乌军装备；乌克兰武装部队总参谋部称在波克罗夫斯克方向击退俄军17次进攻
- 加拿大东北部纽芬兰与拉布拉多省林火蔓延，过火面积达100平方公里，拉布拉多城9600人被疏散，加拿大正应对500多起活跃林火，超400起处于失控状态
## 全面深化改革中国式现代化万千气象
- 上海、浙江坚定不移全面深化改革、扩大开放，在推进中国式现代化建设中走在前列</t>
  </si>
  <si>
    <t># 课程概况
本节课为光学系列课程的第一讲，主要围绕**几何光学**展开，系统讲解了光的直线传播与光的反射两大核心内容。课程首先介绍了光源、光线等基本概念，通过小孔成像、日食月食、影子形成等实例论证了光在均匀介质中沿直线传播的规律，并介绍了光速的相关知识。随后进入光的反射部分，详细讲解了光的反射定律、镜面反射与漫反射的区别、平面镜成像特点及其应用，最后简要介绍了凸面镜和凹面镜的特性与用途。课程兼顾复习与新课讲授，强调实验操作与生活实例的结合。
# 核心知识点梳理
## 一、光的直线传播
### 1. 光源
- **定义**：自身能够发光的物体
- **分类**：
  - **自然光源**：太阳、萤火虫等
  - **人造光源**：火把、蜡烛、煤油灯、电灯等
- 人类照明发展历程：烧木柴 → 烧炭 → 烧煤油 → 点蜡烛 → 电灯
### 2. 光线
- **定义**：用一条带有箭头的直线来代表光的传播路径
- **性质**：光线是**物理模型**，并非真实存在
- 按光源形状分类：点光源（如蜡烛）、平行光源（如太阳光）
### 3. 光在均匀介质中沿直线传播 ⭐
- **条件**：必须在**均匀介质**中
- **反例**：光穿过大气层时会发生偏折，因为大气层不均匀（越靠近地面越密集，越往外越稀薄），导致我们看到太阳"越出地平线"、星星"眨眼睛"等现象
### 4. 实例证明
- **三点一线**：步枪瞄准练习时，眼睛看到瞄准点、准心尖和标尺缺口三者重合，即认为三者处于同一直线上
- **队列排列**：千手观音表演中，从正面看只看到第一个演员，原理即光沿直线传播
- **木工检查**：闭一只眼观察尺子是否平直
- **激光准直**：利用激光沿直线传播的特性进行准直
- **小孔成像** ⭐：
  - 原理：光沿直线传播
  - 成像特点：**倒立**、**实像**（光线实际到达）、放大或缩小不一定（取决于物距与像距关系）
  - 历史：记载于《墨经》，是中国古代光学重要成就
  - 生活实例：夏天大杨树底下的光斑（太阳通过树叶缝隙形成的小孔成像，因太阳距地球极远，得到的是太阳缩小的像，光斑常呈椭圆形）
  - 家庭实验：纸杯底部用针扎小孔，前方用塑料布蒙住，点燃蜡烛置于小孔前方，可在塑料布上看到倒立的火苗像
- **日食与月食** ⭐：
  - **日食**：太阳、月球、地球在同一直线上，**月球在中间**
    - 1号区域：日全食（月球完全挡住太阳）
    - 2、3号区域：日偏食
    - 4号区域：日环食（中间被挡住，边缘仍可见）
  - **月食**：太阳、地球、月球在同一直线上，**地球在中间**
    - 1号区域：月全食（月球完全进入地球阴影）
    - 月偏食：月球**部分**在1号区域，部分在2或3号区域时出现
    - 注意：月球处于2、3号区域时只是略暗，不叫月偏食
- **影子的形成**：如唐朝皮影戏即利用此原理
### 5. 光速
- **真空中**：`v = 3×10⁸ m/s` = `3×10⁵ km/s`（每秒30万公里）
- 速度感受：一秒钟可绕地球赤道**7圈半**
- **空气中**：约 `2.99×10⁸ m/s`，比真空中略慢，常近似处理
- **水中**：约为真空中的 `3/4`
- **玻璃中**：约为真空中的 `2/3`
- 光速测量历史：早期测量光速的尝试均以失败告终（光速太快）
- 光的本质：电磁波（初三将详细学习）
### 6. 相关练习要点
- 激光从地球射到月球表面用时1.25秒，地月距离 = `3×10⁸ m/s × 1.25s = 3.75×10⁸ m`
- 先看到闪电后听到雷声：**光速比声速快**（声速15℃时为340m/s）
- 百米赛跑计时员位置问题：光速远快于声速，计时误差可忽略
## 二、光的反射
### 1. 光的反射定律 ⭐
- **基本概念**：
  - 入射光线（AO）、反射光线（OB）、法线（ON）
  - **法线**：过入射点垂直于镜面的辅助线，**不存在于真实世界**，画图时用虚线表示
  - **入射角**：入射光线与法线的夹角
  - **反射角**：反射光线与法线的夹角
- **定律内容**（三句话）：
  1. 反射光线、入射光线和法线在**同一平面内**（三线共面）
  2. 反射光线和入射光线**分居法线两侧**
  3. **反射角等于入射角**
- **易错点**：光线**垂直射到镜面上**时，入射角和反射角均为 **0度**（不是90度！）
- 典型例题：反射光线与平面镜夹角为40°，则入射角 = 90° - 40° = **50°**
### 2. 反射作图方法
- 步骤一：先画法线（虚线，垂直于镜面，2-3段即可）
- 步骤二：根据反射角等于入射角，利用对称性找到对应光线
- 步骤三：补全箭头方向
- 注意：作图痕迹（法线）要保留，不要擦掉
### 3. 镜面反射与漫反射 ⭐
- **镜面反射**：
  - 发生在光滑表面（平面镜、平静水面、光滑金属表面等）
  - 平行光射到光滑镜面上，反射光线仍平行
  - 缺点：反射光线只朝特定方向，人眼不在该方向就看不到（如商场玻璃隔断容易让人撞上）
- **漫反射**：
  - 发生在凹凸不平的表面
  - 将每个小面看作小平面镜，各自按反射定律反射
  - 平行光射到粗糙表面，反射光线**射向各个方向**
  - 生活中的大多数反射都是漫反射（黑板、电影银幕、白纸、人眼看到物体等）
- **共同点**：两种反射**都遵守光的反射定律**
- 典型应用：电影院白色银幕（粗糙表面）→ 漫反射，使各位置观众都能看到
### 4. 光路可逆
- 在反射现象中，光路是可逆的
- 例：若小明能看到小刚在平面镜中的像，则小刚也一定能看到小明在平面镜中的像
### 5. 平面镜成像 ⭐
- **成像原理**：光的反射定律（反射光线的反向延长线汇聚形成虚像）
- **成像特点**（四句话）：
  1. 正立的
  2. 等大的
  3. 虚像（光线并未实际到达，光屏无法接收）
  4. 像与物到镜面的距离**相等**，像与物的连线与镜面**垂直**
- **实验要点**（探究平面镜成像实验）：
  - 用**玻璃板**代替平面镜：便于透过玻璃板找到像的位置
  - 用**刻度尺**：比较像与物到镜面的距离
  - 用**两段完全相同的蜡烛**：比较像与物的大小关系
  - 光屏无法接收到蜡烛烛焰的像 → 证明成的是**虚像**
  - 物体靠近玻璃板时，像的大小**不变**
- **实验误差原因**：
  - 玻璃板与水平面不垂直（或与预先画好的镜面位置不重合）
  - 玻璃板有厚度，两个面都会发生反射，形成两个像（应选用薄玻璃板）
- **生活应用**：平静水面的倒影（水面充当平面镜，树在水中的"倒影"实为正立等大的虚像，只是文学上习惯称"倒影"）
### 6. 球面镜
- **凸面镜**：
  - 对光线起**发散**作用
  - 成**正立、缩小**的虚像
  - 应用：汽车后视镜、丁字路口拐弯处的镜子（能看到更大范围）
- **凹面镜**：
  - 对光线起**会聚**作用，有焦点
  - 应用：手电筒电珠（小灯泡置于焦点处）、汽车前大灯、探照灯、耳鼻喉科医生检查用镜、太阳灶（西藏藏民烧水用）
  - 历史典故：阿基米德利用妇女梳妆镜围成凹面，汇聚阳光烧毁敌人帆船
  - 现代问题：玻璃幕墙形成凹面会汇聚阳光，可能烧死树木、引燃电线，造成**光污染**
# 课堂互动与答疑
- **学生提问：萤火虫算不算光源？**
  - 教师回答：算，萤火虫自身能发光，属于自然光源。但古人不可能拿萤火虫当灯笼学习用。
- **学生提问：为什么研究反射要引入法线？**
  - 教师回答：如果只研究反射，不引入法线也可以。引入法线是为了后续学习**折射**做准备。
- **学生提问：日食和月食中区域与现象对应关系？**
  - 教师提醒：日食中1号区域是日全食、2/3号区域是日偏食，但**月食不能照搬这个规律**。月球远小于地球，月球处于2/3号区域时只是略暗，不叫月偏食；月偏食是月球**部分**进入1号区域（地球阴影）时出现的现象。
- **课堂讨论：运动会百米赛跑计时问题**
  - 教师延伸：物理老师和数学老师协助体育老师掐表，但人工计时容易出错。亚运会等大型赛事有高速摄像实时追踪，学校运动会条件有限。
- **课堂讨论：师生共同跑项目**
  - 教师回应：因各班班主任年龄差异太大（年轻男老师占便宜），该提议被否决。
&gt; 教师提醒："咱们现在说到这是够的。但等到高中去学习，他可能会说这里面有些地方是不严密不完善的，到时候他再让高中老师给咱们纠正吧。"
&gt; 教师提醒："一定要保护眼睛。你要用到岁数大呢，这个不容易。"
# 课后任务与学习建议
## 课堂练习
- 完成讲义练习第1-6题（光的直线传播部分）
- 完成讲义练习第7-17题（光的反射部分）
- 完成讲义练习第18-24题（平面镜成像及应用部分）
## 重点复习内容
1. **光的直线传播**：条件（均匀介质）、实例（三点一线、小孔成像、日食月食、影子）
2. **光的反射定律**：三句话（共面、分居两侧、反射角等于入射角），注意垂直入射时入射角为0°
3. **镜面反射与漫反射**：区别与联系，两者都遵守反射定律
4. **平面镜成像特点**：正立、等大、虚像、像与物关于镜面对称
5. **球面镜**：凸面镜发散（正立缩小虚像）、凹面镜会聚（焦点处放光源可出平行光）
## 教师推荐的家庭实验
1. **小孔成像实验**：纸杯底部用针扎小孔，前方用塑料布蒙住，点燃蜡烛置于小孔前方，观察倒立的火苗像
2. **光的直线传播实验**：用激光笔对准吸管，吸管弯曲后墙上光点消失
3. **镜面反射与漫反射对比实验**：白纸上放小镜子，用手电筒垂直照射，斜着看时镜子是黑的、白纸是亮的
4. **平面镜成像实验**：用玻璃板、两根蜡烛（或跳棋子）在家中即可完成
## 学习建议
- 建议购买一支激光笔（两元店、十元店即可），便于在家完成光学实验
- 光学作图时注意：法线用虚线（2-3段即可），作图痕迹要保留
- 注意区分易混概念：小孔成像成**倒立实像**，平面镜成像成**正立虚像**</t>
  </si>
  <si>
    <t># 课程概况
本次课程为《电气工程基础》导论课，是电气工程专业学生进入专业课学习的第一门入门课程。课程首先明确了本课程的两大教学目标：一是掌握电力系统发电、输电、配电、用电四个典型环节的构成、工作原理及其与电力系统整体之间的关系，建立电力系统的整体概念；二是掌握电力系统在分析、设计、运行、管理等方面的基础理论、基本技术和基本计算方法。随后，教师系统梳理了电力系统的基本概念体系（电力系统、电力网、动力系统、变电站等），详细介绍了交直流输电的发展历史，分析了三相交流输电的优势，阐述了电力系统的形成过程，并讲解了电力网的分类与变电站的分类方法。课程重点强调了第1章作为全课程概念最多、最重要的章节地位，并指出了三个学习难点。
# 核心知识点梳理
## 一、课程定位与教学目标
- 本课程是**专业课入门课**，前修课程要求掌握`电路理论`和`电机学`知识，特别是**变压器**和**同步电机**相关内容要求较高
- 主要后续课程包括：`电力系统分析`、`电力系统继电保护`、`电力系统自动化`、`高电压技术`
## 二、第1章学习内容与重难点
**需掌握的内容：**
1. 电力系统若干基本概念：`电力系统`、`电力网`、`动力系统`、`变电站`
2. 电力系统的特点及其对设计、运行的影响
3. 对电力系统提出的要求
4. 电力系统电能质量指标（含国家标准规定的范围）
5. 电力系统常用接地方式，特别是**中性点接地方式**的不同特点
**三个学习难点 ⭐：**
1. **电力系统特点引出的基本原理**：如电能不能大量储存，决定了电力系统`有功功率和无功功率的动态平衡`问题，这是运行调整和设计的基础
2. **电力系统额定电压的规定**：规定繁杂，需理清规律
3. **各种中性点接地方式**：直接影响后续多个章节内容，学习难度较大
**学习方法建议：**
- 基本概念注意内涵和外延，适当记忆
- 从电力系统的特点和要求出发，从最基础原理推导，**不要死记结论**（使用条件变化时结论可能失效）
- 寻找额定电压规定之间的基本规律
- 比较不同中性点接地方式之间的特点
## 三、交直流输电发展历史
### 直流输电的早期发展
- **最早从直流开始**，而非交流
- 早期试验：用2000米导线连接瓦斯发电机，证明直流远距离输电可行
- **1874年**：俄国工程师在彼得堡建成4.5公里直流输电线路，传输功率4.5千瓦
- **1882年**：法国德普勒架设首条57公里直流试验线路，采用电报线传输，首端电压343伏，末端850伏，输送功率200瓦，**损耗高达78%**
- **1883年**：德普勒在法国南部进行14公里输电试验，输送功率1.1千瓦，损耗55%
- **1882年10月**：英国科学家发明直流输电`三线制系统`（外线与中线间110伏，两外线间220伏），后扩展至五线制
- 直流输电的局限：电压等级低时损耗大、电压降落快，制造大容量高压直流发电机困难，限制了远距离大容量输电
- 19世纪末法国科学家尝试串联多台直流发电机升压，将75千瓦电力输送75千米
- 20世纪初瑞典科学家在串联直流发电机上安装**短路器**，实现不停电投切，此后20多年间建成15条直流输电线路；最大规模为**1906年**投运的法国慕尼黑水电厂至里昂线路（180公里、57千伏、4700千瓦），**1927年**改建成260公里、125千伏、19000千瓦
### 交流输电的兴起
- 英国法拉第电磁感应原理、美国亨利多线圈变压器雏形
- **1876年**：俄国科学家发明`单相变压器`（主要用于照明）
- **1883年**：美国特斯拉制造出`感应电机`（标志性成果）
- **1885年**：匈牙利科学家设计多台变压器并联运行方式
- **交直流电力战争**：爱迪生与凯尔文主张直流电（理由是效率高、交流电危险，甚至购买威斯汀豪斯的交流发电机卖给监狱用于死刑执行以证明其危险性）；威斯汀豪斯与特斯拉主张交流电（可利用变压器升压降压、减少电能损失）
- **1886年**：威斯汀豪斯在美国麻省进行1.2千米、30千伏交流输电示范；同年又在意大利建成17英里高压输电线路
- **1886年**：俄国科学家发明`三相交流电`、三相交流输电和三相异步电动机
- **交直流之争的标志性事件**：法国到德国的交流输电线路（从水电厂安装三相发电机和升压变压器，送至德国法兰克福，建两座降压变电站，一座供展览会照明，一座供100马力三相异步电动机驱动人工瀑布离心泵）
### 交流输电电压等级的发展历程
- **1898年**：发明实心绝缘子，美国加州输电电压升至33千伏
- **1906年**：发明`悬式绝缘子`，建成110千伏高压输电
- **1912年**：发现电晕临界电压与导线直径成比例增加，铝线和钢芯铝绞线开始应用，美国建成154千伏线路
- **1923年**：均压阀技术应用，建成220千伏输电线路
- **1936年**：美国287千伏线路投运
- **1952年**：瑞典建成380千伏线路，**首次采用分裂导线**
- **1956年**：苏联400千伏双回线路投运
- **1965年**：加拿大建成735千伏输电系统
- **1969年**：美国765千伏线路并入电网
- **1985年**：苏联1150千伏特高压线路投运（后降压至500千伏运行）
### 中国输电电压等级发展
- 220千伏：**1941年**投运
- 330千伏：**1972年**投运
- 500千伏：**1981年**投运
- 1000千伏交流特高压：**2009年**投运（标志性成果）
### 直流的回归——联网应用
- 交流大电网稳定问题突出后，直流在联网中的优势显现，重新用于电网间连接
- **1954年**：瑞典本土与哥特兰岛建成世界第一个工业性海底电缆直流工程（100千伏、96公里，采用汞弧阀技术）
- **1970年**：瑞典扩建50千伏、1万千瓦`晶闸管换流阀`试验工程
- **1972年**：世界第一个晶闸管换流阀背靠背直流工程在加拿大投运
- 中国第一个直流输电工程：连接舟山群岛与浙江定海电网
- **1989年**：葛上直流（葛洲坝电厂至上海），±500千伏
- 近年投运：云广直流±800千伏（特高压直流工程）
## 四、三相交流输电的优势
**三相（ABC三相对称系统）的三个优点：**
1. **易于产生旋转磁场**，三相电动机容易做驱动
2. **瞬时功率恒定**，不随时间变化
3. **输电线路导线用量（金属消耗量）最少**
**效率比较**：三项三线制输电方式的传输效率最高；在同等功率和功率因数下，金属消耗量最小（全截面为一根导线截面×3，与单相、对称n项n线制比较）
**应用现状**：除室内配电等小功率供电采用单相交流外，其他场合基本采用三相交流；国内电力系统大多数高压、超高压、特高压输电均采用三相交流输电方式，仅在联网过程中采用直流联网方式
## 五、电力系统的形成过程
**形成逻辑链：**
1. 最初：一台发电机向附近负荷供电（如展览会照明、大楼照明），各自孤立运行
2. 问题：发电机故障即停电，**供电可靠性差**
3. 改进：将多台发电机并联连接，一台故障时其他发电机可带重要负荷
4. 新问题：输电线有`电阻`和`电抗`参数，传输功率时产生**电压损耗和功率损耗**，输电距离受限
5. 解决方案：**升高电压**——传输有功功率一定时，电压升高则电流减小，线路有功损耗（I²R）和电压降落（IZ）均减小，输电距离可延长
6. 交流升压手段：**变压器**（一侧升压、另一侧降压）
7. 结果：形成多台发电机共同供电的电力系统雏形
**电力系统形成带来的好处：**
- 供电可靠性提高（发电机数目多于负荷需求时）
- 可装设大机组，供电范围扩大，**带来直接经济效益**
**远距离输电的进一步问题：**
- 输电距离很长时（如湖北至华东、云贵至两广），中间负荷需在输电线路中间装设**变电站**（降压变压器）供电
- 输电距离过长出现**稳定问题**（自控理论中的稳定性问题），可在中间变电站采取设备调整
## 六、电力系统、电力网、动力系统的定义
| 概念 | 定义 | 构成环节 |
|------|------|----------|
| **电力系统** | 由发电机、变压器、输电线路和用电设备构成的整体，完成电能的生产、输送、分配和消耗 | 发电、输电、配电、用电四个环节 |
| **电力网** | 电力系统中去除发电机和用电设备后的部分（变压器+输电线路） | 输电、配电 |
| **动力系统** | 电力系统基础上再加上发电厂中的动力部分（火电厂的锅炉、汽机、煤炭处理系统；水电厂的水轮机、水坝、水库等） | 包含动力部分 |
&gt; 行业中使用最多的是"电力网"和"电力系统"两个概念，"动力系统"现在很少使用。
## 七、电力网的分类
根据电网规模大小分为三类：
| 类型 | 电压等级 | 供电半径 | 特征 |
|------|----------|----------|------|
| **地方电力网** | 110千伏及以下（早期定义为35千伏及以下） | 20~50公里 | 向固定地方供电，如武汉市电网 |
| **区域电力网** | 110、220千伏及少量500千伏 | 超过50公里 | 联系较多发电厂和负荷中心，如华中电网 |
| **超高压远距离输送网络** | 500千伏或1000千伏（东北有330千伏） | 距离很远 | 跨省跨地区大型电力系统，如晋东南至湖北荆门的特高压线路（跨三省，连接华北电网和华中电网）、三峡至上海输电线路 |
**实际例子：**
- 武汉电网 → 地方电力网（主要供电电压110千伏和35千伏，少数220千伏）
- 华中电网 → 区域电力网
- 葛上直流、三峡至上海线路 → 超高压远距离输电网络
&gt; 注意：随着电网发展和电压等级提高，各级电网所使用的电压等级会发生变化，一般趋势是提高。
## 八、变电站的分类
**三种常见分类方法：**
1. **按电压等级分类**：以站内最高电压等级命名
   - 华工变电站（10千伏变380伏）→ 10千伏变电站
   - 关山变电站 → 220千伏变电站
   - 凤凰山变电站 → 500千伏变电站
2. **按主要功率流向分类**：
   - **降压变电站**：大部分功率从高压侧流向低压侧
   - **升压变电站**：大部分功率从低压侧（发电机）升压至高压侧（发电厂内）
# 课堂互动与答疑
**学生常见问题：**
- 我们国家为什么采用交流？
- 为什么采用交流三相三线制？
**教师回应要点：**
- 三相三线制在传输效率上最高，金属消耗量最小，因此得到广泛应用
- 交流输电在很长一段时间内占主导地位有其优势特点
**教师推荐阅读书目（三本）：**
- 教师推荐了三本关于电力发展史的书籍，供学生课后进一步阅读，作为电气专业学生应了解电力发展的基本历史
# 课后任务与学习建议
1. **补充前修知识**：对电路理论和电机学知识有欠缺的同学，应自行补充相关内容，特别是**变压器和同步电机**相关知识
2. **重点掌握第1章内容**：第1章是概念最多、最重要的章节，所有内容都应按重点内容掌握
3. **课后阅读**：阅读教师推荐的三本电力发展史相关书籍，了解电力发展的基本历史
4. **学习方法建议**：
   - 基本概念注意内涵和外延，适当记忆
   - 从电力系统的特点和要求出发，从最基础原理推导，不要死记结论
   - 寻找额定电压规定之间的基本规律
   - 比较不同中性点接地方式的特点
5. **课堂后续内容预告**：后续课程将分别讲解放电、输电、配电、用电各环节的具体内容；直流输电相关名词（如换流阀、背靠背直流工程等）将在后续课堂中详细介绍</t>
  </si>
  <si>
    <t># 调和级数发散性的证明方法评析
## 知识主题与概述
本文是B站UP主“皮卡”新系列视频的试水之作，核心内容是带领观众评析Stack Exchange（简称MSE，即Math Stack Exchange）上一篇关于调和级数收敛性与发散性的经典问题及其网友回答。视频首先从高中数学视角出发，简要介绍了级数收敛与发散的基本定义，随后逐一评析了该帖下几种不同的证明方法，包括分组估计法（柯西凝聚判别法）、积分估计法、指数函数放缩法以及Stolz定理法。UP主在评析过程中不仅解释了每种方法的数学原理，还从数学思维角度对方法的自然性与技巧性进行了主观评价，指出部分证明存在“先射箭后画靶”的凑答案嫌疑。视频最后提到，若反响良好，将推出后续系列视频继续评析其他数学问题的网友回答。
## 核心概念
### 一、级数收敛与发散的基本定义
- **级数**：给定一个序列 \( a_n = \frac{1}{n} \)，其前 \( n \) 项和记为 \( S_n = 1 + \frac{1}{2} + \frac{1}{3} + \cdots + \frac{1}{n} \)。
- **收敛的判定**：对于正向级数，若存在一个固定的实数 \( A \)，使得无论 \( n \) 取多大的正整数（如 \( 10^{10^{10^{10}}} \)），都有 \( S_n &lt; A \)，则称该级数收敛。
- **发散的判定**：若能够证明 \( S_n \) 大于某个单调递增且无上界的序列 \( B_n \)，即对于任意给定的数 \( B \)，总能通过增大 \( n \) 使得 \( B_n &gt; B \)，则称该级数发散。
### 二、调和级数发散性的证明方法
#### 方法一：分组估计法（网友方法）
- 将调和级数的项按如下方式分组：
  - 第1组：\( 1 \)
  - 第2组：\( \frac{1}{2} + \frac{1}{3} \)
  - 第3组：\( \frac{1}{4} + \frac{1}{5} + \frac{1}{6} + \frac{1}{7} \)
  - 第4组：\( \frac{1}{8} \) 至 \( \frac{1}{15} \)
  - 依此类推
- **关键观察**：每一组的和都大于 \( \frac{1}{2} \)。
  - 第2组：\( \frac{1}{2} + \frac{1}{3} &gt; \frac{1}{4} + \frac{1}{4} = \frac{1}{2} \)
  - 第3组：4个 \( \frac{1}{8} \) 之和等于 \( \frac{1}{2} \)
  - 第4组：8个 \( \frac{1}{16} \) 之和等于 \( \frac{1}{2} \)
- **结论**：由于级数包含任意多组这样的分组，而每组和均大于 \( \frac{1}{2} \)，因此总和无上界，级数发散。
#### 方法二：柯西凝聚判别法（Cauchy Condensation Test）
- **核心思想**：与分组估计法的证明思路完全一致，即通过分组对部分和进行估计。
- **定理内容**：对于非负不增序列，级数 \( \sum a_n \) 的收敛发散性质等价于 \( \sum 2^k a_{2^k} \) 的收敛发散性质。
- **应用于调和级数**：\( \sum \frac{1}{n} \) 的收敛发散性等价于 \( \sum 2^k \cdot \frac{1}{2^k} = \sum 1 \) 的收敛发散性。由于无穷个1相加显然无上界，故调和级数发散。
- **UP主评价**：柯西凝聚判别法本质上就是将分组求和的思想推广到一般非负不增序列的情形。
#### 方法三：积分估计法
- **核心不等式**：证明 \( H_n &gt; \log(n+1) \)，其中 \( H_n = 1 + \frac{1}{2} + \cdots + \frac{1}{n} \) 为调和数。
- **几何直观**：调和级数的部分和从几何上看是一系列矩形的面积之和，每个矩形高为 \( \frac{1}{n} \)、底为1。这些矩形的面积始终大于曲线 \( f(x) = \frac{1}{x} \) 下方的曲边梯形面积。
- **积分计算**：\( \int \frac{1}{x} dx = \log x \)，定积分结果为 \( \log(n+1) \)。
- **结论**：由于 \( \log(n+1) \) 无上界，故 \( H_n \) 也无上界，级数发散。
#### 方法四：指数函数放缩法
- **证明思路**：对 \( e^{H_n} \) 进行估计。
  - 利用指数函数性质：\( e^{a+b} = e^a \times e^b \)，将 \( e^{H_n} \) 转化为连乘积形式。
  - 利用不等式 \( e^{\frac{1}{k}} &gt; 1 + \frac{1}{k} \) 进行放缩。
  - \( 1 + \frac{1}{k} = \frac{k+1}{k} \)，其连乘积相邻项可相互抵消，最终结果为 \( n+1 \)。
- **结论**：\( e^{H_n} &gt; n+1 \)，即 \( H_n &gt; \log(n+1) \)，级数发散。
- **UP主评价**：该方法技巧性极强，但本质与积分估计法完全一致，属于“后期凑答案”的做法，即先知道结果再反推证明路径，有故弄玄虚之嫌。
#### 方法五：Stolz定理法
- **核心思路**：证明 \( H_n \) 与 \( \log n \) 属于同一增长级别，而 \( \log n \) 无上界，故 \( H_n \) 也无上界。
- **Stolz定理**（中文常称“斯托尔兹定理”）：当分子分母均为无穷大时，可通过比较差分 \( \frac{a_{n+1} - a_n}{b_{n+1} - b_n} \) 的极限来求原极限。
- **具体应用**：
  - 分子差分：\( H_{n+1} - H_n = \frac{1}{n+1} \)
  - 分母差分：\( \log(n+1) - \log n = \log(1 + \frac{1}{n}) \)
  - 两者之比极限为1，故 \( \lim_{n \to \infty} \frac{H_n}{\log n} = 1 \)
- **UP主评价**：该方法虽然可行，但同样存在“先射箭后画靶”的问题——如果事先不知道调和级数与对数函数的增长关系，很难自然地想到用 \( \log n \) 作为比较对象。
### 三、相关数学背景知识
- **调和级数**：形如 \( 1 + \frac{1}{2} + \frac{1}{3} + \cdots + \frac{1}{n} \) 的级数，其部分和记作 \( H_n \)，英文中“调和”为 Harmonic。
- **对数符号**：\( \log \) 为美国记法，\( \ln \) 为欧洲记法（经苏联传入中国）。
- **微积分的历史**：微积分大约在清朝初年（康熙时期）被提出，虽已有300余年历史，但大众对其理解仍有限。
- **高斯求和**：高斯小时候计算 \( 1 + 2 + 3 + \cdots + 100 \) 时，采用分组配对的方法（\( 1+100=101 \)，\( 2+99=101 \)，以此类推），体现了分组求和思想的普遍性。
## 核心结论
- **调和级数发散**：调和级数 \( \sum \frac{1}{n} \) 是发散的，这是微积分中的经典结论，对于学过高等数学的学生而言是基础问题。
- **分组求和思想**：多种证明方法（分组估计法、柯西凝聚判别法）本质上都源于分组求和的核心思想——在求和中发现具有良好性质的分组结构，将复杂求和问题转化为对组数的计数问题。
- **证明方法的自然性差异**：UP主认为积分估计法最为自然直观，而指数函数放缩法和Stolz定理法虽然逻辑上成立，但存在“先知道答案再凑证明”的痕迹，不够自然。
- **数学传播的困难**：微积分虽是300年前的数学成果，但大众对其理解仍然有限，互联网上（如“民科吧”）甚至存在网友试图反驳调和级数发散结论的论战。
- **柯西凝聚判别法的价值**：该方法对于增长缓慢、不易直接判断收敛性的级数尤为有效，能将复杂级数的收敛性问题转化为更简单形式。</t>
  </si>
  <si>
    <t># GitHub 开源资源库实用指南与访问技巧
## 知识主题与概述
本视频围绕 GitHub 这一全球最大的开源资源平台展开，系统介绍了 GitHub 上值得关注的实用热门项目、中国用户访问 GitHub 时常见问题的解决方案（包括网络加速、页面汉化、搜索优化等），以及 GitHub 页面核心功能的使用方法。视频由工作室成员老李主讲，以“正经与不正经”项目为线索，展示了 GitHub 作为资源宝库的多样性——既有名校公开课、大厂面试题、开源大模型、AI 学习资料等正经资源，也有表情包合集、养生指南、大厂黑名单等趣味内容。同时，视频针对中国用户访问 GitHub 困难、英文界面障碍、原生搜索不好用等痛点，提供了多种实操性强的解决方案，并推荐了利用 AI 工具辅助搜索 GitHub 项目的高效方法。
## 核心概念
### 一、GitHub 上的实用热门项目
**1. 工作性价比评估项目**
- 项目名称未明确提及，但功能为评估工作性价比
- 输入参数包括：年薪、工作地区、年假天数、通勤时长、学历、工作年限、领导同事评价等
- 输出结果：综合评分与评级（如“性价比还不错，优质牛马”）
**2. 表情包博物馆**
- 收录国内过去几年全网爆火的表情包大合集
- 涵盖甄嬛传、罗翔老师、特朗普、马保国等主题表情包
- 用途：斗图时可“把对方按在地上摩擦”
**3. 健康活到 150 岁指南**
- 分享经过科学验证的健康知识
- 具体内容：间歇性进食对身体有益，可促进胆汁代谢、炎症自愈；食用天然发酵类食品可改善肠道菌群生态
**4. 一键制作证件照项目**
- 功能：上传大头照即可一键抠图换背景
- 可生成不同标准的证件照及各种规格的打印模板
**5. 丐版健身教练项目**
- 适合无健身器材、请不起真人教练的用户
- 使用方式：选择自重、哑铃、弹力带、长凳等器材类型（如选择身体自重），再选择要练习的肌肉群（如腹肌），即可获得参考动画并跟练
**6. 教材资源项目**
- 收集国内所有小学、初中、高中及部分大学的 PDF 教材
- 全部免费使用
**7. 全自动视频生成项目**
- 项目名称提及为“morning printer Turbo”（原文如此，可能为语音识别误差）
- 功能：全自动生成视频
**8. 声音克隆模型 ChatBox TTS**
- 特点：零样本语音克隆，情感控制到位，克隆声音接近真人说话效果
- 使用方式：上传自己的音频，即可合成指定文本的语音（如英文台词）
**9. AI 学习资源库**
- 涵盖大语言模型、RAG、AI Agents、MSI 等最新 AI 技术
- 作者将所有教程整理为 500 多页的 PDF 文档，内含大量示意图辅助理解
**10. Awesome AI Apps 项目**
- 收录大模型最新的 Agent 应用案例
- 具体案例：医学影像数据分析 Agent、AI 投资 Agent、竞争对手情报分析 Agent
- 用途：跟进 AI 应用落地最新案例、寻找创业点子
### 二、中国用户访问 GitHub 的解决方案
**方法一：使用 Watt Toolkit 加速软件**
- 操作步骤：进入 Watt Toolkit 官网 → 选择适合电脑的版本下载安装 → 打开软件找到“网络加速” → 勾选“GitHub 加速”
- 效果：可流畅访问 GitHub
**方法二：使用 GitHub 镜像站**
- 示例：`gh-proxy` 等镜像站，浏览器打开即可直接访问 GitHub
- 特点：默认显示镜像项目地址，但搜索 GitHub 其他项目无问题
- 局限：速度和稳定性比加速软件差
**方法三：使用“魔法”（网络代理工具）**
- 视频提及但未展开详细操作
**方法四：注册 GitHub 账号**
- 注册方式：使用国内 QQ 邮箱即可完成注册
### 三、GitHub 页面汉化与翻译
**浏览器翻译插件方案**
- 谷歌浏览器推荐插件：Google Translate 或沉浸式翻译
- 安装方法：点击浏览器右上角三个点 → 拓展程序 → 管理拓展程序 → 搜索插件名称 → 安装
- 效果：可将网页直接翻译为中文，翻译效果基本够用
- 进阶方案：动手能力强的用户可安装汉化插件
### 四、GitHub 核心功能与搜索技巧
**1. 搜索框基本使用**
- 位置：GitHub 网站顶部
- 示例：搜索录屏软件，输入英文 `screen record`
- 排序方式：默认按与搜索词的匹配度排序，更常用的是按 Star 数排序
**2. Star 数的意义**
- Star 数代表项目的“江湖地位”
- Star 越多说明项目越受欢迎
- 示例：按星标排序后，排名第一的录屏工具为 `ShareX`
**3. GitHub 原生搜索的局限**
- 按搜索词精准匹配，导致同一含义的不同表达（如 `screen record` 与 `screen recording`）搜索结果不同
- 对国人而言不够好用
**4. 用 AI 辅助搜索（推荐）**
- 方法：在 ChatGPT 等 AI 工具中用中文描述需求（如“在 GitHub 上帮我找好用的录屏软件”）
- 优势：AI 可自动搜索并汇总热门项目，以表格形式呈现，解决英文不好、搜索不准确不全面的问题
**5. 项目主页功能解读**
- 项目本质：GitHub 上的一个项目本质上是一个文件夹，项目名字下面是子文件夹或文件
- 项目操作区：`Watch`（关注项目）、`Fork`（复制项目到自己的账号）、`Star`（收藏和点赞）
- 右侧 `About`：项目简介，一句话介绍项目用途
- `Release`：软件的安装包区域，可查看最新版本并下载安装
- `README` 文件：项目的说明书，默认在项目最下方展开显示，用于了解项目用途、安装使用方法
**6. 判断项目活跃度**
- 查看每个文件最近的 `Commit` 日期（即最近更新时间）
- 若更新日期为好几年前，大概率是无人维护的“僵尸项目”
**7. 发现热门项目**
- 路径：点击左侧 `Explore` → 进入 `Trending` 页面
- 可查看全站当天、本周、本月最热门的项目
- 另一种方式：让 ChatGPT 等 AI 工具帮忙找 GitHub 每日热门项目
## 核心结论
- **GitHub 是巨大的宝藏资源库**：几乎可以找到想要的资源、教程、工具，既有正经资源（名校公开课、大厂面试题、开源大模型、AI 学习资料），也有趣味内容（表情包合集、养生指南、大厂黑名单）。
- **中国用户访问 GitHub 的三大解决方案**：使用 `Watt Toolkit` 加速软件（最流畅）、使用镜像站（速度与稳定性较差）、使用“魔法”（个人最推荐）。
- **GitHub 页面英文障碍可通过翻译插件解决**：谷歌浏览器推荐 `Google Translate` 或 `沉浸式翻译` 插件，安装后可直接将网页翻译为中文。
- **GitHub 原生搜索对国人不够友好**：因其按精准匹配搜索，同一含义的不同英文表达会导致搜索结果不一致；推荐使用 ChatGPT 等 AI 工具辅助搜索，用中文描述需求即可获得全面、准确的热门项目汇总。
- **GitHub 项目核心功能要点**：`Star` 代表收藏点赞、`Fork` 代表复制项目、`Watch` 代表关注项目；`README` 文件是了解项目的必看说明书；`Commit` 日期可用于判断项目是否仍在维护；`Explore` → `Trending` 可查看最新热门项目。
- **视频中所有提到的开源项目及未提及但不错的项目**均已整理成文档，可供观众领取。</t>
  </si>
  <si>
    <t># 访谈概述
本期《锵锵三人行》围绕日本历史剧《大奥》与《明朝那些事儿》展开深度对话。节目邀请到《明朝那些事儿》作者当年明月（本名石悦）与文化学者马先生，三人从日本历史剧的严谨精神切入，探讨日本民族精神中的极端主义、忠诚文化及其与中国的文化差异，进而延伸到明史研究、明朝皇帝趣闻、明代社会风貌等话题。访谈核心围绕中日文化精神对比展开，同时涉及明朝历史的独特魅力与历史研究的思维方式。
# 核心观点
**关于日本历史剧《大奥》与日本文化**
- 《大奥》是继《大长今》之后最有影响力的外国电视剧，共三部，前两部对应中国晚明到清初时段，后一部在明治维新之前，是一部有跨越性的历史剧。
- 当年明月认为《大奥》吸引他的是"一种严谨的精神"——"你如果现在回头看三国演义，你会看到很多群众演员会笑，但是如果你看日本剧，你看不到笑的"，每个人都特别有专业精神。
- 马先生提到《大奥》第一集片头就让他震撼："将军出场的时候，所有的人呈45度开始鞠躬，依次鞠躬那个场面之华丽包括色彩，那就是我一看就不一样，出场就不一样。"
- "大奥"即中文的"后宫"，"奥"指很深的地方、屋子最里处，也含"一般人不准进去"之意。
- 日本幕府将军与1000个女人生活在大奥中，这与其政权结构有关——天皇一直是摆设，实际权力掌握在幕府将军手中，自德川家康开创德川幕府后，日本所有权力集中在一人手上。
- 当年明月指出，日本天皇实际上并不被幕府尊重，曾出现天皇想举办活动但将军不给钱、最后活动没办成的情况，天皇甚至以退位表示抗议。
**关于日本民族精神**
- 当年明月提出日本文化的核心是"极端精神"——"所有的事情要做到尽头"，这与中国的"中庸"文化形成鲜明对比。
- 马先生以日本战后为例：1945年日本战败后，用30年时间成为世界第二经济强国（绝对量而非人均量），是"全民族的这种极端精神"的必然结果，而日本是世界上唯一没有资源的强国。
- 当年明月以家具为例阐释中庸之道：马先生家具店中一块特别硬的木头刻着云彩，"这么硬的一个东西能做成这么柔软的形状，这就是中庸"——中国讲究在正确与错误之间找到一条最适合的路，而日本精神恰相反，坚持一个原则做到极致。
- 马先生强调日本是"忠诚文化的典型国度"，这种忠诚不是靠说教，而是靠具体的事体现。如《大奥》中阿福25岁进宫当奶妈，65岁去世，40年做事完全出于公心，绝无夹杂私利。
- 当年明月补充："所有人按照自己的角色去做自己的事情，最节省成本了，就不会有互相的作用力互相抵消，大家都会有一个共同的目标往前走。"
- 马先生分享日本豆腐厂见闻：夜里11:45所有人坐好不动，看着表，到夜里12点整全体站起来开始工作，因为豆腐规定当天做当天卖，4点多干完开始上市。
- 当年明月分析日本民族性的地理根源：日本是岛国，没有资源，还经常火山地震，"你跑都没地方跑"，所以人本身对世界有一种极强的求生欲望，必须努力求生存，只有融入到团体之内、按照固定规则做事才能生存下来。
- 马先生指出日本投机取巧的人没有生存环境，"社会的那种文化的鄙视是非常难过的"。他举例：日本做绳子做到全日本第一的人，长达几年不赚钱，从甲地批发绳子给乙地送去一分钱不赚，等市场铺平后，再向两边各加2%，最终靠这4%赚大钱。
- 当年明月坦言不愿做日本人，因为日本人有一种"寻死的那种潜在欲望"——看樱花只看落的那一天，对死亡不是藐视而是"有点向往的感觉，或者说不惧怕"。
- 马先生对此有不同看法："日本民族它不是藐视生命，它是重视死亡，它是翻着的。"经济危机时很多身家万贯的日本人剖腹自杀，正是重视死亡的体现。
**关于明朝历史与《明朝那些事儿》**
- 当年明月解释为何写明朝：因为明史资料最多。"一个说法可能有7个不同，一个事件可能有7个不同的说法，就好像那个罗生门。"
- 马先生补充明朝本身260多年的过程就跌宕起伏，"几次都要死没死了"，如土木堡之变、夺门之变，"皇上已经被瓦剌军给抓起来了，哥几个一攒吧说那不算，又把这个扶起来了，把弟弟扶起来了"，完全构成现代版电视剧的情节。
- 当年明月对朱元璋的评价很高：从乞丐当上皇帝，"历史上最底层的人坐到最上面独此一份"，刘邦好歹是个亭长。朱元璋知道每一层的猫腻，疑心重是必然的，他定下的明朝规章制度基本上没有太大改动。
- 当年明月强调历史研究的态度："历史最重要的是什么呢？就是你一定要弄明白它是发生过的。"很多人看历史觉得故事好玩，但"旁观者你看它多好玩"，实际上当事人面临的是掉脑袋的风险。
- 关于历史经验教训，当年明月引用名言："我们从历史中得到的唯一教训就是我们从来没有从历史中得到过教训。"他解释：史书记载下来的是照片，而古人的生活是录像，"你不知道为那一幕之前跟之后是什么"，所以不能简单套用历史经验。
- 当年明月认为明朝是个有趣的朝代："宦官专政魏忠贤刘瑾，文官专政张居正，皇帝专政朱元璋朱棣，谁都可能当老大。"皇帝出去了还能回来继续做皇帝，这在历史上很难找到第二例。
- 关于明末情况，当年明月指出很多真相被掩盖："那时候市民生活特别轻松舒服，想去哪去哪，当时连皇册都不用了"，江浙一带工商业兴起，给人当雇工活得很滋润，《三言二拍》这类娱乐产品的出现说明人们有养活自己的资本。李自成起义是因为陕西一带发生了大规模灾荒。
- 马先生补充明末艺术成就：文征明、唐寅、董其昌都是那个时期的人，工艺到了明末彻底改观变得非常精细，日本派了大量工匠来中国交流学习。
**关于明朝皇帝趣闻**
- 当年明月为明武宗正德皇帝"翻案"：明朝皇帝一般说来后人不会说本朝皇帝多差，但正德特别差是因为接他班的是嘉靖——嘉靖不是他的亲生儿子，而是堂兄弟，所以不能把他写得太好。
- 正德皇帝执意要去江南，大臣们跪在金水桥前抗议，皇帝气坏了到锦衣卫打死了十几个人，还是不让去。
- 正德到扬州后，向地方政府要东西被拒绝，皇帝不生气，让人准备酒席，然后说吃不了折合成银两带回去。
- 当年明月指出正德并非史料所写的那么蠢："他从江南回来，没有进京城，在通州先停了半天，先派人打探京城里有没有人想搞埋伏搞圈套，非常有城府。"
- 马先生提到天启皇帝爱当木匠，干完活差大臣去卖，还打听卖得怎么样，卖得很好就特别有成就感。这从侧面反映当时社会对家具的重视，也是明式家具在国际上地位高的原因。
- 关于正德皇帝无子嗣，马先生分析他对宫廷外的女人有兴趣，宫廷内的女人禁忌太多，"这人是皇帝一去就自个儿就先塞了半边"，而民间女子不知他是皇帝，反而不同。
# 关键引语与金句
&gt; "吸引我的是觉得有一种严谨的精神。你如果现在回头看三国演义，你会看到很多群众演员会笑，但是如果你看日本剧，你看不到笑的。"——当年明月
&gt; "日本人的这种极端精神，使一个国家在战后这样一个不利的局面下，只需要30年的时间它进入世界第二经济强国。"——马先生
&gt; "慢慢来才是最快的方法。所有人按照自己的角色去做自己的事情，最节省成本了，就不会有互相的作用力互相抵消，大家都会有一个共同的目标往前走。"——当年明月
&gt; "我们从历史中得到的唯一教训就是我们从来没有从历史中得到过教训。"——当年明月
&gt; "史书上记载下来的是照片，而实际上我们的生活、古人的生活都是录像。你不知道为那一幕之前跟之后是什么。"——当年明月
&gt; "历史它那个事儿发生的时候是有背景的。当那种情况出现的时候，你也得那么办，甚至还不如前人。"——当年明月
&gt; "你站在一个历史的原点的时候，你前后都看不见，你必须撤出来，你才能看见它。问题是我们谁都不能站得这么高来俯视这块历史。"——马先生
&gt; "所有的偶然中一定有个必然的因素。"——马先生
&gt; "日本民族它不是藐视生命，它是重视死亡，它是翻着的。"——马先生
&gt; "我们强调一个忠诚可能未必获得一个好处，他强调忠诚最终一定要落到一个好处，所以这个民族才团结。"——马先生
# 补充信息
- 《大奥》为日本历史剧，三部曲分别对应日本不同历史阶段，前两部约相当于中国晚明到清初，后一部在明治维新之前。
- 德川家康开创德川幕府后，日本权力集中于幕府将军手中，天皇无实权且经济拮据。
- 日本战后1945年起用30年成为世界第二经济强国，是唯一没有资源的强国。
- 明朝灭亡的1644年，北京曾闹瘟疫（当时称"疙瘩瘟"，可能是天花），李自成军打到京城时无人抵抗。
- 中国历史上跨过300年大限的王朝只有宋朝（南北宋合计319年），汉朝中间隔断14年，唐朝、明朝、清朝均未跨过。
- 明武宗实录由嘉靖指派杨廷和等人编纂，因嘉靖非正德亲生，存在偏颇可能。嘉靖上台后为追封父亲为皇帝引发"大礼仪事件"。
- 当年明月提及与老师王佩奇先生交流过明朝灭亡的蹊跷之处。
- 马先生提到日本经济危机时很多身家万贯的人剖腹自杀的现象。</t>
  </si>
  <si>
    <t># 就诊概况
患者张学恒，男，48岁，因“上腹反复疼痛4年，加重3个月”就诊于消化专科。患者自述近4年来上腹（心窝处）反复发作烧灼样疼痛，每年春季多发，近3个月症状持续反复。疼痛与进食冷、硬、辛辣食物及工作紧张劳累相关，夜间无痛醒。近4年间曾两次出现黑便（一次在一年前，一次在三个月前），均经住院检查证实为大便出血，住院2-3天后大便转黄。近两个月出现呕吐，呕吐物为酸性的黄水样物，含当日早、午餐食物，呕吐后腹胀缓解。患者自述曾自行服用“斯达舒”（剂量逐渐增加至每日4-5次，效果变差）、奥美拉唑（国产，武汉药厂）、阿莫西林及单位医务室自配胃炎合剂，症状反复。医生初步考虑消化系统疾病，建议完善大便检查及胃镜检查，并预约后天行胃镜检查。
# 诊断与检查结果
**初步诊断**：上腹疼痛待查，考虑消化系统疾病（消化性溃疡？），需进一步检查明确。
**已完成的检查**：无（患者自述本次为最近一次不适后首次来院检查）。
**计划检查**：
- 大便检查（因患者曾两次出现黑便，需明确有无消化道出血）
- 胃镜检查（预约在后天进行，患者要求爱人陪同）
**既往病史**：
- 16岁时曾患甲肝，于三医院住院治疗约1个月，出院时各项指标正常，此后体检肝功均正常
- 幼年时曾因扁桃体炎于成都市儿童医院就诊
- 对磺胺类药物过敏（小学时服用磺胺药后左手起红疹，瘙痒，持续约半个月方愈）
- 双眼近视400度
- 偶发口腔溃疡
- 无手术史
**家族史**：
- 父亲76岁，有低血压（约90/60mmHg）
- 母亲75岁，诊断冠心病，药物控制良好
- 一个弟弟，体健
- 一位婶婶（叔叔的爱人）曾患胃癌，但医生指出该亲属与患者无血缘关系，不必过度担心遗传风险
# 治疗方案与医嘱
**当前用药情况**（患者自行服药，非本次就诊新开具处方）：
| 药品名称 | 剂量 | 频次 | 用法 | 注意事项 |
| --- | --- | --- | --- | --- |
| 斯达舒 | 初始每次1颗，后逐渐加量 | 初始每日2次，后增至每日4-5次 | 口服 | 初始有效，后效果渐差，加量后仍不佳 |
| 奥美拉唑（国产，武汉药厂） | 未明确 | 未明确 | 口服 | 初始有效，停药后症状反复 |
| 阿莫西林 | 未明确 | 未明确 | 口服 | 与奥美拉唑同服 |
| 胃炎合剂（单位医务室配制） | 未明确 | 未明确 | 口服 | 症状反复时服用 |
**医生医嘱**：
- 建议减少吸烟：患者既往每日约1包，现已自行限制在每日10支以内，医生建议尽量少抽或戒烟
- 建议减少饮酒：患者偶有应酬饮酒，医生指出饮酒对胃部疾病影响较大，需注意
- 建议避免熬夜及过度劳累：患者工作紧张、经常加班熬夜，医生明确提示这与疾病发作相关
- 建议注意饮食：避免生冷、过硬、辛辣等刺激性食物
**待定事项**：是否需手术治疗，待检查结果完善后由上级张医生进一步评估决定。医生表示目前临床上有多种药物可有效治疗消化系统疾病，若能药物控制则无需手术。
# 复诊与预警信号
**复诊安排**：
- 患者需留取大便标本送检
- 胃镜检查预约在后天进行（患者要求爱人陪同）
- 检查结果将由医生汇总后向上级张医生（消化专科教授）汇报，再与患者商讨下一步处理方案
**预警信号**（需立即就医的情况）：
- ⚠️ 再次出现黑便或柏油样便
- ⚠️ 呕吐物中带血（红色或黑色）
- ⚠️ 腹痛加剧或无法忍受
- ⚠️ 出现头晕、乏力、面色苍白等贫血相关症状</t>
  </si>
  <si>
    <t># 庭审概况
本案为上诉人国家开发银行与被上诉人云南东源电力股份有限公司（以下简称“东源煤电”）、云南东源曲靖电力有限公司（以下简称“曲靖电力”）、招银金融租赁有限公司（以下简称“招银租赁”）金融借款合同纠纷一案二审。上诉人不服云南省高级人民法院云民初88号民事判决，向本院提起上诉。本院依据《中华人民共和国民事诉讼法》第134条第一款、第169条的规定，依法组成合议庭公开开庭审理。
庭审围绕三个争议焦点展开：一、国开行对案涉设备是否享有抵押权，是否构成善意取得；二、一审判决对案涉借款罚息、复息的计算是否正确；三、东源煤电、东源煤业是否应当连带给付违约金。经合议庭评议并主持调解，各方当事人最终就调解方案达成一致，当庭签署调解协议。
# 原告诉称与被告辩称
| 方 | 诉讼请求/答辩意见 | 事实与理由 |
| --- | --- | --- |
| 上诉人（国家开发银行） | 主张对案涉93项设备享有抵押权，请求确认抵押权有效并优先受偿；主张利息、罚息、复利按合同约定计算；主张东源煤电、东源煤业连带给付违约金 | 1. 国开行在办理抵押登记时已尽到合理审慎的审查义务，包括查询人民银行征信中心融资租赁登记系统、审查工商出资证明、权属证明等，未发现案涉设备存在融资租赁登记信息，构成善意取得抵押权。&lt;br&gt;2. 借款合同第六条明确约定了罚息、复利的计算标准，具有合同依据。&lt;br&gt;3. 借款合同第24条第三项明确约定了违约金条款，东源煤电未按合同第13条、第14条配合办理账户管理及柜台签约手续，已构成违约。 |
| 被上诉人（东源煤电、曲靖电力） | 不同意国开行关于贷款提前到期日的主张；认为罚息不应作为复利计算基数；违约金主张缺乏事实依据 | 1. 合同约定宣布贷款提前到期时应给予限期偿还的合理时间，2018年6月13日当天发函要求当天还款不符合合同约定。&lt;br&gt;2. 根据《人民币利率管理规定》第21条，复利仅针对贷款期内不能按期支付的利息，不包括逾期罚息；最高人民法院2015年、2016年相关判例亦支持罚息不能作为复利计算基数。&lt;br&gt;3. 国开行未举证证明东源煤电存在违反柜台协议的行为，且未按合同约定先行发出限期纠正通知，主张违约金不符合合同约定。 |
| 被上诉人（招银租赁） | 主张对案涉六项设备享有所有权，国开行不构成善意取得；同意调解 | 1. 招银租赁于2012年即通过售后回租方式取得案涉设备所有权，东源煤电的出资行为系无权处分。&lt;br&gt;2. 国开行在2015年办理抵押登记时未按央行规定查询融资租赁登记系统，未履行审查义务，不构成善意取得。&lt;br&gt;3. 国开行2018年9月的查询记录不符合要求，不能证明其在抵押时点进行了查询。 |
# 举证与法庭调查
## 一、第一个争议焦点：国开行对案涉设备是否享有抵押权、是否构成善意取得
### （一）国开行主张及举证
1. **关于告知义务问题**：国开行代理人指出，2015年12月2日东源方发送的邮件系常规例行的贷后审查资料，邮件正文及附表均未提及设备存在融资租赁情形。该邮件中招银租赁一栏记载的融资额度及抵押类型为“不动产抵押”，与融资租赁概念不同，无法得出东源方已履行告知义务的结论。
2. **关于设备权属审查**：国开行代理人强调，案涉设备系通用设备，无唯一标识码和权属证明，不同于汽车、房产等有唯一编码的财产。国开行已对抵押人曲靖电力公司名下信息进行调查，当时系统显示无任何融资租赁登记。2018年再次核查时，曲靖电力公司名下仍无融资租赁登记信息（见证据第108页）。
3. **关于评估报告**：评估报告明确曲靖电力公司拥有的在建工程价值5.7亿元，机械设备价值5.1亿元。设备未纳入资产负债表系企业内部管理原因，不影响企业实际拥有上述资产。
4. **关于善意取得**：国开行已按人民银行规定完成贷款抵押的形式审查、资料审查、法律审查，办理了法定抵押登记，取得抵押权构成善意取得。
### （二）招银租赁反驳意见
1. **关于查询义务**：根据中国人民银行2014年93号文关于融资租赁登记系统的规定，国开行在办理抵押时应查询人行征信中心融资租赁登记系统。国开行提供的2018年9月查询证书不符合要求，不能证明其在2015年抵押时点进行了查询。
2. **关于关联关系**：本案借款人为东源煤电，抵押人曲靖电力系东源煤电100%全资控股子公司，东源煤电同时具有借款人和全资控股股东双重身份，国开行对东源煤电的资产状况应当具备更高的注意义务。
3. **关于无权处分**：招银租赁于2012年即取得租赁设备所有权，东源煤电将设备出资给曲靖电力系无权处分行为。工商登记公示的是出资行为而非动产所有权归属。
4. **关于设备交付**：2012年8月招银租赁对东源煤电设备进行了物权确权审查，要求提供了六项设备的买卖合同、大部分发票及到货确认单。设备交付到货与安装调试系两个概念，设备到货即视为东源煤电取得所有权，招银租赁亦在交付时点取得租赁设备所有权。
5. **关于设备登记信息**：招银租赁在央行融资租赁登记系统初始登记时，上传的附件清单包含设备名称、数量、出厂时间、生产厂商及存放地点。存放地点清晰显示为“登封矿区煤矸石电厂”，该电厂仅有汽轮机两台、发电机两台、锅炉两台，描述足够清晰，足以引起金融机构重视。
### （三）东源方意见
1. 2015年12月2日发送邮件的时间节点与双方签订抵押合同（2015年12月20日）吻合，并非单纯的贷后审查材料。
2. 融资情况表中两家公司的抵押设备名称完全相同，且邮件截屏中抵押设备部分用红色予以标注突出。国开行作为专业金融机构，发现即将办理抵押的设备名称与其他抵押设备完全一致时，应尽到注意义务进行适当核查。
### （四）合议庭询问要点
**1. 关于央行融资租赁登记的性质及法律后果：**
- 国开行认为：央行融资租赁登记系统系行业内的强制性规范，目的是防范金融风险，防止动产设备多处抵押或融资产生冲突。
- 招银租赁认为：根据物权法定原则，融资租赁登记并非法定物权登记，只是权利公示方式，强化动产权利外观，可能产生对抗效力，但不影响所有权设立、转移等物权法定效果。央行规定系行业性强制性规范，不构成法律效力上的约束力。
- 东源方认为：融资租赁登记只是行业指导性规范文件，非强制性规定，不当然产生物权后果。
**2. 关于融资租赁登记系统的查询方式：**
- 国开行：目前只能通过查询单位（公司名称）方式进行查询。
- 招银租赁：可通过公司名称或设备信息两种方式查询。以设备查询涉及种类物区分问题，需通过登记因素区分设备唯一性。招银租赁在登记时，对具有唯一识别码的设备均予以登记；案涉五套设备因刚交付，无唯一识别码，故未登记。
**3. 关于国开行内部风控规定：**
- 法官询问国开行贷款前审查是否有内部规定要求必须查询融资租赁登记系统，未查到结果时是否需将查询单作为风控材料留存。
- 国开行回应：办理动产抵押时确需筛查该系统，但因未查询到登记结果，故未保留查询记录。国开行认为，当时和现在均未查询到曲靖电力公司设备存在融资租赁登记，恰恰证明其行为无过失。
**4. 关于设备唯一标识码是否为必填项：**
- 招银租赁回应：设备唯一标识码不是必填项。案涉发电机组铭牌上仅有型号和参数，无唯一识别码，与汽车发动机号不同。
**5. 关于违反查询规范的法律后果：**
- 国开行认为：根据最高人民法院融资租赁司法解释第九条第三款，金融机构作为第三方要取得善意权利，应查询融资租赁登记信息。国开行的审查义务针对抵押人曲靖电力公司，已完成审慎调查义务。
- 招银租赁认为：查询是银行业的严格义务，银行未查询即违反行业规范要求。本案中，通过综合各方信息能够确定五台设备的唯一性和独特性，国开行未进行查询，不构成善意。
**6. 关于融资租赁司法解释第九条的举证责任分配：**
- 招银租赁认为：第9条系列举式规定，第一、二、四项应由出租人举证，第三项（查询义务）应由第三人（国开行）举证证明其在办理抵押时进行了查询。
### （五）关于动产登记制度不完善的各方意见
- 国开行：目前动产抵押登记由工商部门（市场监督管理局）管理，融资租赁登记在央行平台，两套系统相互隔离、信息不流畅，是导致本案争议的系统性问题。建议推进信息整合，建立统一的动产登记制度。
- 招银租赁：建议从立法层面统一对金融主体和市场主体的要求，发挥行业协会作用形成行业惯例，技术上实现跨部门信息共享。
- 东源方：认可系统整合和衔接的必要性，但作为非专业机构无法提供具体建议。
## 二、第二个争议焦点：一审判决对案涉借款罚息、复息的计算
### （一）国开行主张
1. 东源煤电利息支付截止至2017年12月20日，利息应从2017年12月21日起算。
2. 2018年6月13日，国开行向东源煤电、东源煤业发送两份《关于偿还云南恩洪矿区煤矸石综合利用电厂上大压小项目贷款本金的通知》，明确要求当日归还借款。被上诉人出现利息及本金违约后，国开行有权提前宣布贷款到期，借款到期日应为2018年6月13日，罚息应从该日起算。
3. 具体计算：利息（2017年12月21日至2018年6月12日）合计2179万5727.08元；罚息（2018年6月13日至2019年2月19日东源煤电申请破产受理之日）合计4105万0579.57元；复利（2018年3月21日至2019年2月19日）合计191万8206元。
4. 借款合同第六条第四款明确约定罚息部分按照罚息利率计收复利，具有合同依据，不违反法律强制性规定，应尊重双方意思自治。且一审判决已支持罚息复利部分，东源煤电未提起上诉，根据不告不理原则应予维持。
### （二）东源方反驳
1. **关于贷款提前到期**：借款合同第24条第二款第二项约定国开行宣布贷款提前到期时应发出通知并要求限期偿还。“限期偿还”与“立即偿还”系不同概念，当天发函要求当天还款不符合合同约定。案涉本金近8.37亿元，应给予合理履行期限。
2. **关于罚息计算复利**：
   - 法律规定：《人民币利率管理规定》第21条明确对贷款期内不能按期支付的利息按合同利率按季计收复利，贷款逾期后按罚息利率计收复利，针对的是贷款期内利息而非逾期罚息。
   - 合同约定：合同第六条第四款表述为对不能按期支付的“利息”计收复利，未明确包含罚息。
   - 司法实践：最高人民法院2015年、2016年相关民事判决支持罚息不能作为复利计算基数。
   - 复利再计复利完全没有合同依据，违反相关法律规定，应予限制。
### （三）招银租赁意见
招银租赁非借款合同当事人和参与方，尊重合议庭审查结果。
## 三、第三个争议焦点：东源煤电、东源煤业是否应当连带给付违约金
### （一）国开行主张
1. 借款合同第24条第三项明确约定被上诉人发生违约时应承担违约责任，支付千分之一违约金，属双方意思自治，具有法律约束力。
2. 东源煤电未按借款合同第13条、第14条约定配合办理账户管理及柜台签约手续，已构成违约。是否办理相关手续的举证责任在被上诉人。
3. 本案罚息、复利、违约金金额未超过法定最高标准。
### （二）东源方反驳
1. 国开行始终未举证证明东源煤电存在违反柜台协议的行为，应承担举证不能的后果。
2. 按合同约定，国开行认为东源煤电违约时应先发出限期纠正通知，东源煤电不予纠正后方可采取违约处理措施。但国开行自提起诉讼之日始终未向东源煤电发出任何书面纠正通知或告知，主张违约金不符合合同约定。
### （三）招银租赁意见
招银租赁非该合同参与方，尊重合议庭审查结果。
# 庭审结果
## 一、调解过程
合议庭指出，本案案涉金额巨大、法律关系复杂，庭前已多次到案发地及设备所在地进行调查走访，并召开庭前会议。合议庭认为通过调解能够实现各方共赢，多次向当事人提出和解调解建议。
东源方表示：东源公司以煤炭开采为主营业务，受行业下行等因素影响，2015年下半年即出现资金链断裂，企业举步维艰、亏损严重。2019年2月19日法院受理破产重整时，东源公司负债高达76.2亿元。2016年响应国家去产能政策后生产能力下降，安置职工1.3万余人，最困难时近半年未发工资，社会保险严重拖欠。东源方积极响应法院调解建议，希望在调解过程中将相关债权总体纳入破产重整程序予以考虑，在不损害债务人利益的情况下最大限度保障债权人利益。
招银租赁表示：考虑到东源煤电目前的实际情况，同意调解，希望合议庭在查明事实、综合考虑各方违约情况及过错情况的基础上主持调解。
## 二、调解方案内容
合议庭休庭评议后提出调解方案，各方当事人均无异议，当庭签署调解协议：
1. **债权债务确定**：国开行对东源公司债权扣除破产中已清偿本金外，利息（2017年12月21日至2018年12月期间）合计2179万5727元，罚息（2018年6月13日至2019年2月19日期间）合计4105万0579.57元，复利（2018年3月21日至2019年2月19日）合计191.8206万元，三项共计6474.4513万元。
2. **权利确认**：东源煤电、东源煤业破产重整程序中已确定招银租赁对涉案六项设备享有所有权，对应债权数额1377.4137万元；确定国开行对93项设备享有抵押权。
3. **资产处置**：招银租赁和国开行对案涉全部发电设备整体盘活处置，从变现款中实现各自债权。本案生效后20日内，由国开行向一审法院提出执行申请启动司法变现，变现价格双方各50%，实现费用双方各担50%。
4. **债权保障**：变现款不足以清偿债务或变现不能时，招银租赁未实现的债权在执行法院出具裁定后，按照破产重整计划中的预留方案实现债权。如司法变现不能，国开行和招银租赁权益通过前述方法实现后，均放弃对案涉设备的权益，由曲靖电力自主生产经营。
5. **无争议事项**：各方对一审判决第二项、第四项无争议，按判项内容在调解书中确认。
6. **诉讼费用**：一审诉讼费中国开行诉请部分按一审判决执行，招银租赁诉请部分由二审法院按规定确定；二审诉讼费由本院依法确定。
7. **争议终结**：各方之间就本案涉及的问题不再存在任何争议。
## 三、法庭总结
审判长指出，调解是高质量审判、高效益审判。各方当事人在分清是非的基础上，本着合作共赢的大局意识，使个案争议得以更好解决，东源煤电、东源煤业的破产重整得以圆满成功，企业得以重生并良性发展，金融债权亦得到充分保护。
同时，合议庭指出本案反映出的深层问题：生产设备的动产抵押权与融资租赁物所有权的冲突是司法实践中普遍性难题，金融风险防控仍有较大空间。根本原因在于我国尚未建立统一的动产登记制度，现有动产融资租赁登记系统和动产抵押登记系统缺乏有效衔接。为从根本上防范和解决此类矛盾纠纷，本院将依据最高人民法院《关于加强司法建议工作的意见》，向有关部门提出司法建议，共同推进国家治理现代化。
法庭宣布闭庭。</t>
  </si>
  <si>
    <t># 候选人概况与面试岗位
本场为公务员面试，共4道结构化面试题，答题时间20分钟。候选人围绕"绳子哲理对公务员工作的启示""人工智能企业调研方案""应对记者质疑的现场模拟""城市道路改造引发社会矛盾的化解思路"四个主题进行作答，展现了较强的综合分析能力、计划组织能力和应急应变能力。候选人答题过程中语言流畅、逻辑清晰，但存在个别表述重复、口语化问题，且第四题开头误说"第三第四题"。
# 能力评估
| 评估维度 | 推荐评级 | 评估依据（具体事例） |
| --- | --- | --- |
| 综合分析能力 | 优 | 第一题中，候选人将"绳子"的三种用途分别引申为"鞭策（自我反省）""平衡（权责对等）""动力（责任感与成就感）"，并引用曾子"吾日三省吾身"、单位风气建设、权力清单与责任清单、材料撰写"连轴转"等具体事例展开论述，联想丰富且逻辑自洽 |
| 计划组织能力 | 优 | 第二题中，候选人系统阐述了调研工作的完整流程：前期通过"补课"弥补文科生在人工智能领域的知识盲区、学习兄弟城市经验、查阅国务院及省厅相关政策文件；方案设计涵盖客观（企业发展现状）与主观（服务需求）两方面；实施阶段采用企业报告阅读、调查问卷设计（请专家学者修改完善）、企业座谈会（围绕人才引进、用地审批、政策倾斜等具体问题）等多种方式；同时兼顾管理层面的调研，关注共享充电宝信任危机等新经济带来的问题 |
| 应急应变能力 | 良 | 第三题中，候选人面对记者质疑时，首先确认记者身份（询问贵姓），随后坦诚承认工作失职，说明管道反复堵塞的客观原因（90年代老城区管道老化、夏季用水高峰），并给出具体解决措施（已联系维修师傅、汇报上级部门争取城市综合保障工程），同时请求媒体向公众解释说明政府面临的困难。但整体回应略显被动，对"标兵名不副实"的质疑回应不够有力 |
| 公共服务意识 | 良 | 第四题中，候选人将矛盾分为"主要矛盾"（城市发展滞后与群众需求提升之间的时间矛盾）和"次要矛盾"（噪音、灰尘、交通拥堵等当下问题），提出加快施工进度、设置防噪墙、洒水降尘、开辟便道、通过交通广播推荐出行路线、增加公交班次、网络公告公开透明等具体措施。但该题答题时间明显不足，后半段论述较为仓促 |
| 语言表达与逻辑 | 良 | 整体表达流畅、条理清晰，能够使用"首先、其次、再次、最后"等逻辑连接词；但存在口语化表达（如"实事求是的讲""咱们"）、个别重复表述（如"停下来""代替代替"）、第四题开头口误说成"第三第四题"等问题 |
# 综合素质
**突出亮点：**
- 知识储备较扎实：第一题中引用曾子名言，第二题中提及"放管服"改革、共享充电宝案例，第四题中运用主要矛盾与次要矛盾的辩证分析框架，体现了较好的理论素养
- 自我认知清晰：第二题中主动承认"文科生对人工智能存在知识盲区"，并提出通过"补课"弥补不足，展现了诚实务实的态度
- 群众观念较强：第三题中表示"我不仅是公务员，也是片区普通居民"，第四题中强调"将事情说明白、说清楚，公正公开透明地表达"，体现了换位思考意识
**潜在风险点：**
- 时间管理能力有待加强：第四题作答时被计时员提醒"离本场考试结束还有3分钟"，导致后半段论述较为简略，未能充分展开
- 个别表述不够严谨：第三题中"咱们做标兵这件事情，其实都是咱们社区里大家停下来"表述含混不清，可能影响沟通效果；第四题开头口误说成"第三第四题"，需注意临场细节把控
- 答题深度分布不均：第一题和第二题论述充分、层次丰富，第三题和第四题相对单薄，尤其在应对媒体质疑时缺乏主动引导舆论的策略意识</t>
  </si>
  <si>
    <t># 故宫参观概况
本次参观为故宫博物院一日深度游览，全程沿中轴线及东西两侧展开，覆盖故宫主要开放区域，包括午门、太和门广场、太和殿、中和殿、保和殿、乾清门、乾清宫、交泰殿、坤宁宫、储秀宫、慈宁宫、珍宝馆、御花园等核心景点。参观过程中详细了解了各宫殿的历史功能、建筑规制及宫廷文化，同时体验了多处文创店的免费盖章活动，全程步行约3万步，耗时一整天。
# 核心看点与讲解
## 一、午门与太和门广场
午门是故宫正门，明清时期功能不同：明朝皇帝在此杖打犯错大臣，清朝皇帝在此颁发第二年历书，称"颁朔之礼"。午门从外看有三个门洞，进门后变为五个门洞，即"明三暗五"。中间正门仅供皇帝通行，例外情况包括：皇帝大婚时皇后可由此门进入一次，殿试前三名（状元、榜眼、探花）可由此门出去一次。两侧门洞供皇亲国戚和文武百官通行。
进入后为太和门广场，有五座金水桥，中间桥供皇帝通行，两侧桥分别供皇亲国戚和文武百官使用。太和门是明朝皇帝御门听政（上朝）的地方，门口两尊铜狮子为故宫六对铜狮中最大的一对，造型威武霸气，脚踩寰宇，象征权力。
## 二、太和殿、中和殿与保和殿
太和殿即"金銮殿"，但并非皇帝上朝之处，而是举行盛大典礼的场所，如皇帝登基、皇后册封等大典均在此举行，届时文武百官在太和殿广场行礼。百官站位遵循"文东武西"原则，文官站东边，武官站西边。广场西侧弘义阁为皇帝银库，东侧体仁阁为缎库。
中和殿位于太和殿后方，是举行盛大典礼时皇帝的休息室，文武百官站好后皇帝再前往太和殿。
保和殿自乾隆五十四年起成为科举考试中殿试的考场。保和殿东北角设有汉字馆，内有4枚免费印章，可购买《紫禁城100》由工作人员现场盖章。故宫内多处可购买此书，但每家店印章不同，且购买后不能去其他店铺盖章，汉字馆印章数量最多。盖章后可选择邮寄到家或自行携带。
## 三、乾清门与后宫区域
乾清门是后宫入口，过去皇帝在此上早朝。门东侧为九卿直房，等级高的大臣在此等待皇帝召见；西侧为军机处。乾清门前两尊石狮耳朵耷拉、眉毛遮眼，意在警示后宫之人"不该看的别看，不该听的别听"。
乾清宫为皇帝寝宫，内有27张龙床，据说是为防止刺客找到皇帝位置。殿内"正大光明"牌匾后藏有皇帝立储诏书——皇帝写两份诏书，一份藏于牌匾后，驾崩后两份对比验证真伪。门口摆放铜鹤与铜龟，旁边有两座精致小房子，名为"社稷江山金殿"，是紫禁城里最小的宫殿，寓意提醒皇帝将江山社稷、百姓民生放在第一位。
交泰殿内放置25块传国玉玺。坤宁宫为皇后居所，明朝所有皇后均住于此。坤宁宫东北角文创店有5枚免费印章。
## 四、西六宫与太后区域
储秀宫为慈禧太后居住20多年的宫殿，现为慈禧五十大寿时期原状陈列。慈禧钟爱此处因其子（同治帝）在此出生。储秀宫旁文创店有3枚免费印章。
翊坤宫、永寿宫为西六宫组成部分，永寿宫西边为太极殿，是东西六宫中唯一被称为"殿"的宫殿。慈宁宫为康熙为祖母孝庄皇太后修建的养老院，旁边寿康宫为甄嬛（熹贵妃）居住之处。附近有冰窖书吧，内有3枚免费印章，印章造型独特，盖章时有批折子的感觉。
## 五、断虹桥、武英殿与文华殿
断虹桥为网红打卡地，桥上石狮子形态各异，其中最有名的是"捂裆狮"。断虹桥往西为武英殿，后改为陶瓷馆，目前处于关闭状态。文华殿位于东侧（对应"文东武西"），当时未开放，据说有展览。
## 六、箭亭、钟表馆与珍宝馆
箭亭为清朝皇帝及子孙练习骑马射箭之处，旁边商店可购买文创雪糕。
钟表馆展出各式古代钟表，造型多样。珍宝馆门口有我国现存三座古代九龙壁之一，左边数第三条白龙下方有一块明显不同的琉璃，实为木头所制——据传当年烧制琉璃砖瓦时弄坏一块，工匠为保命用木头刷白漆以假乱真。
珍宝馆并非单独展厅，而是宁寿全宫，为乾隆给自己修建的养老院。乾隆退休后并未放权，仍每日上朝办公。皇极殿据称1:1复刻乾清宫，宁寿宫对标坤宁宫。养性殿后为乐寿堂，是故宫内唯一能进去参观的皇家寝室，内有二龙衔楼设计。再往后为珍妃井，当年慈禧将珍妃投入此井。井口现放置井口石，珍妃并非从那个小眼进入。珍宝馆出口右手边商店有3枚免费印章。
## 七、东筒子夹道、延禧宫与御花园
东筒子夹道为拍照出片的长夹道。延禧宫为网红打卡地，旁边景仁宫为甄嬛被封熹妃时所住，珍妃也曾居住。
御花园内有钦安殿，供奉真武大帝。紫禁城北边景山从空中俯瞰酷似闭目盘坐的人像，有人说此造型即钦安殿供奉的真武大帝。
## 八、神武门出口
神武门为故宫北门，出门口左手边有两个盖章点：角楼咖啡有2枚免费印章，故宫文创店同样有2枚免费印章。
# 互动与体验
参观过程中体验了多处免费盖章活动，共标注七个免费盖章位置：保和殿汉字馆（4枚）、坤宁宫东北角文创店（5枚）、储秀宫旁文创店（3枚）、冰窖书吧（3枚）、珍宝馆出口商店（3枚）、角楼咖啡（2枚）、故宫文创店（2枚）。讲解者购买了《紫禁城100》用于盖章，并在冰窖书吧购买了冰溪图。
# 收获与建议
## 参观收获
- 纠正了"皇帝在太和殿上朝"的常见误解，明确太和殿为典礼场所、太和门为明朝御门听政之处、乾清门为清朝上朝地点
- 了解了午门"明三暗五"的建筑规制及"文东武西"的百官站位规则
- 知晓了"正大光明"牌匾后的立储制度、乾清宫27张龙床的防盗设计等宫廷历史细节
- 认识了九龙壁中木质琉璃的典故及社稷江山金殿的象征意义
## 游览路线建议
**路线一（全天深度游，约3万步）** ：早起排队进门后沿中轴线往后走，错开旅游团高峰，适合打算在故宫待一整天的游客，游览过程中需注意适当休息和补充水分。
**路线二（半天游）** ：进门沿中轴线往后走，看完坤宁宫后前往景仁宫和延禧宫，接着逛钟表馆和珍宝馆，出来后直奔御花园，从神武门出。
**路线三（省力游，约2小时）** ：进门沿中轴线往后走，看完坤宁宫后去储秀宫，出来去御花园，从神武门出，适合时间有限、不想走太多路的游客。</t>
  </si>
  <si>
    <t># 访谈概况
本次访谈围绕农村及城市留守老人的养老困境展开，受访对象包括农村独居老人、村政府及民政局干部、城市社区养老社工等多元群体。访谈通过实地走访和对话，聚焦留守老人在生活照料、医疗保障、精神慰藉等方面的真实困境，同时梳理了当前城乡养老政策落地情况、社区志愿服务模式及社工行业发展瓶颈。整体反馈基调呈现出农村养老资源匮乏、城市社区服务探索初见成效但可持续性不足的现状。
# 核心反馈
## 一、留守老人群体规模与基本现状
- 根据《2021社区居家养老现状与未来趋势报告》调研数据，**65.5%的老人子女长期不在身边，无奈独居**，仅有26.8%的老人当前居住状态是与子女同住。
- 民政局干部根据公安数据反馈：2021年当地老年人口约73万，占比17.8%左右，且预计未来还会增加。因1962年至1965年职工档案出生人口较多，去年开始已陆续退休，老龄化程度将日益严重，目前空巢老人估计至少有两三万人。
- 独居老人不同程度存在无人平护照料、无人慰藉、就医困难等问题，甚至可能独自一人在家中发生意外。
## 二、典型痛点场景
### 1. 精神孤独与情感缺失
- 黑龙江绥滨一位独居老奶奶因独自在家太寂寞，谎报警称有人敲门，实际只是想找人说说话。
- 上海一名67岁独居老人在家中去世，多日后因家中溢出刺鼻气味才被邻居发现；杭州某小区也发生类似事件，67岁独居老人去世数天后才被发现。
- 受访老人原话：
  &gt; “我那个wifi收费，你出去打工。子女的经济压力大，老人的适应能力降低，以及城市中对农村老人无形的歧视，在多重因素的叠加下，留守老人这个群体愈发庞大。”
  &gt; “寂寞空虚，得不到人关注一样的。其实老人可能到了这个时候，确实还是很需要爱的。”
### 2. 经济困难与生活压力
- 民政局干部指出当地养老面临的核心问题：**第一是经济困难**，当地经济不太发达，生病、锻炼等方面都受制约；第二是子女不在身边，一旦生病住院比较麻烦；第三是娱乐方式少，只能坐在一起聊天、打牌。
- 农村老人养老金与工人养老金待遇差距明显。受访干部原话：
  &gt; “每一个60岁以上的农村老年人，每个月就是118还要提高一点，因为毕竟都是60年代的人了，结个婚呢砍个树都要交砍伐金，杀个猪都要交那个屠宰税，农村的养老金跟工人的养老金待遇完全一样，但现在的老年人公平。”
### 3. 就医困难
- 有视障老人明确说出自己在就医上遇到的障碍，但具体细节未展开。
- 民政局干部提到，子女不在身边导致老人一旦生病住院就非常麻烦。
### 4. 农村养老设施运营难以为继
- 当地曾探索在农村建设养老公共设施，提供日托、休闲娱乐、沟通交友平台等场地，但**不是一次性投入的问题，地方财政困难，后续运营经费没有支持**，难以持续。
- 目前农村养老主要依靠村支两委和志愿者上门，形式包括敲门串门、宣传政策、搞卫生、大扫除等，每月结合党员组织会开展活动，到孤寡老人、留守老人家中走访。
## 三、现有养老保障政策及执行情况
### 1. 五保户供养制度
- 集中供养：老人自愿到敬老院集中供养，生活护理补贴直接发给敬老院护理人员，生活费直接发给敬老院。
- 分散供养：五保户每月发放475元生活费，另有护理补贴。
### 2. 残疾人保障
- 一级、二级残疾人按国家政策纳入最低生活保障，补贴标准分为160元、270元、380元三档，根据家庭状况制定具体标准，保证其最低生活保障。
### 3. 老人综合补贴
- 受访干部提到老人每月补贴达百零一，另有食补电补合计600来块钱。农村生活比较艰苦，五六百元基本能满足基本生活需求，但如有大病则不够。
## 四、城市社区养老探索经验
### 1. 志愿者制度
- 社区建立了志愿者一对一帮扶制度，志愿者就近帮扶，例如发现老人住在自家楼下，经过家门口时可天天探望；老人身体不好时，志愿者天天送菜上门。
- 通过定期表彰、志愿者积分兑换（如年底在雷锋超市兑换礼品）等方式激励志愿者长期坚持。
- 社区正在发掘中年志愿者，并开展“小手拉大手”活动，从儿童青少年入手，拉动家长加入志愿者队伍。
### 2. 社区活动
- 今年周四准备开展送春联活动，邀请书法老师写对联，由孩子们上门送给老人家。
- 去年中秋节开展了做月饼活动，还举办过百家宴，让老人感受到社区就是一个大家庭。
- 2023年目标是让家长自己组织活动，社区转为协助者角色。
### 3. 养老服务中心
- 每个社区成立养老服务中心，提供理疗类活动、按摩、老年大学、心理咨询等服务。
### 4. 心理问题老人帮扶案例
- 社工曾帮助一位存在严重心理问题的老人，该老人与邻里关系不和谐，半夜摔门等，社区派志愿者上门但效果有限。老人内心与外界隔绝，觉得周围人都是陌生的、没有关心他的人，甚至产生仇恨式心理，拒绝接受任何人的建议。
- 经过社工日复一日的关心和照料，老人与邻里关系逐渐好转，能够理解他人、接受意见。社工反馈老人曾打电话表达寂寞空虚、得不到关注的感受。
## 五、社工行业困境
- 城市社工大致分为社区社工和街道社工两类：社区社工由小区出资专门服务一个小区；街道社工由政府出资负责一条街道的所有小区。
- **社工制度的核心困境在于社会需求量大而供给不足**。政府和社区资金有限，难以承担长期专业社工服务费用，大量社工迫于生计转行。
- 社工行业工资较低，影响就业率，很多社工从业不超过一年就转行。
- 每个街道和乡镇派两名社工驻点，主要围绕老人、小孩服务，但很难真正落地。
- 社工服务项目按年度购买，资金来源不稳定，今年能服务、明年不一定能继续；项目结束但服务成效不一定达到。
- 很多社工并非社工专业出身，专业能力欠缺。受访社工原话：
  &gt; “很多的社工并不是专业的，学社工专业出来的。可能也就是图一个，周末玩玩。在专业上其实还是很欠缺的。”
## 六、受访者对养老问题的建议
民政局干部提出四点建议：
1. 请专业施工人员进行陪伴；
2. 倡导在外务工子女多与老人联系；
3. 丰富老人文化生活，提供更多娱乐方式；
4. 希望老年协会专项执行，专门建设养老设施，有固定场地，定期开展板报宣传、健康知识讲座等，并给予持续运营经费，不仅考虑建设还要考虑后续运营。
# 关键洞察与建议
## 一、核心洞察
1. **农村留守老人面临经济、医疗、精神三重困境叠加**，其中经济困难和精神孤独是最突出的两大痛点。子女外出务工导致家庭养老功能弱化，而农村公共养老服务体系尚不完善。
2. **农村养老设施“重建轻管”问题突出**，一次性投入后缺乏持续运营经费支持，地方财政无力承担，导致设施难以发挥应有作用。
3. **城市社区志愿者制度提供了可借鉴的养老帮扶模式**，通过一对一就近帮扶、积分激励、代际联动（小手拉大手）等方式，有效增强了社区对老人的关怀覆盖。
4. **社工行业可持续发展面临严峻挑战**，薪资低、项目资金不稳定、专业人才流失严重，制约着养老服务的专业化和长期化。
5. **老人心理健康问题不容忽视**，独居老人普遍存在孤独、抑郁情绪，部分老人甚至出现心理障碍，需要长期、专业的心理关怀介入。
## 二、建议方向
1. **加大对农村养老服务的财政支持力度**，建立养老设施持续运营经费保障机制，而非仅一次性建设投入。
2. **完善农村老人医疗保障体系**，解决独居老人就医难、住院无人照料的问题。
3. **推广城市社区志愿者帮扶模式**，鼓励各地结合实际情况建立就近帮扶、代际联动的社区养老支持网络。
4. **提升社工行业薪酬待遇和专业水平**，稳定社工队伍，保障服务连续性；加强社工专业培训，提升服务能力。
5. **丰富留守老人精神文化生活**，通过定期探访、社区活动、代际互动等方式缓解老人孤独感，关注并干预老人心理健康问题。</t>
  </si>
  <si>
    <t># 沟通概况
本次为372班新生家长会，由班主任林瑞老师（地理学科）主持，另有家长代表张宇波校长（兼语文老师）分享家庭教育经验。会议围绕班级基本情况、教师团队、学生管理、费用说明、安全保障及家校配合等主题展开，旨在加强家校沟通，共同促进学生成长。
# 沟通内容
## 一、班级基本情况
- 班级为**372班**，共**60人**，其中男生**25人**，女生**35人**
- 班主任为**林瑞老师**，教地理学科
- 学生正处于生理和心理持续变化的时期，是人生中不稳定的阶段，需要培养应对风险的能力
## 二、学生整体表现
**亮点：**
- 时间观念和执行能力较强
- 班风班貌良好，卫生状况好，纪律良好
**需关注之处：**
- 少数同学周末沉迷手机游戏，导致返校后状态懒散、精神疲惫
- 个别学生（约两三个）存在手机依赖问题
- 自习课效率较低，老师在时安静，老师不在时纪律松散
- 部分学生书写较差，需加强练字
- 个别学生存在早恋倾向，需家长关注QQ、抖音、快手等社交账号动态
- 有少数男生存在网瘾倾向，曾发现有学生观看不健康直播内容
- 有学生生活费使用不合理，存在过度消费现象
## 三、费用说明
- 水费险相关费用：每月2元/人
- 书费：已预交**11000元**，尚未结算；未购买书箱的费用将退还
- 相关费用约**70-120元**不等，具体金额后续会公布
- 班主任明确表示：**不会在微信群收取任何费用**，费用由学生交给生活委员，提醒家长防范诈骗
## 四、手机管理要求
- 学生到校需上交手机，放入贴有名字的手机存放箱
- 建议家长不要给孩子留多余手机，避免孩子藏匿备用机
- 家长可在周一到周五不定时拨打孩子电话，验证是否已上交
- 班主任提醒家长关注孩子的网络使用情况，防止沉迷游戏和不健康内容
## 五、教师团队介绍
- 多数为老教师，部分为优秀教师，均毕业于师范院校
- 多数教师有**3年以上**教学经验，部分教师教龄在**6年以上**
- 各科老师联系方式后续会发在家长群中
## 六、班级管理措施
- 继续加强思想教育工作
- 加强课堂纪律管理
- 制定详细班规，严格扣分、检讨、罚站等制度
- 严格请假制度，稳定学习秩序
- 班主任定期与科任老师沟通，了解学生表现
- 下次月考预计在**11月初**
## 七、安全教育提醒
- **交通安全**：未满16周岁骑电动车非常危险，尤其载人行为需制止
- **防溺水**：严禁私自下河游泳
- **防诈骗**：提醒家长和学生注意防范电信诈骗
- **防校园欺凌**：如有问题第一时间联系班主任处理
- 饮食安全、运动安全等也需重视
## 八、保险与电子学生证
- 学平险费用约**300多元**，可统一购买也可自行购买，需统计购买情况
- 电子学生证为移动套餐，月费**78元**，方便学生与家长联系，目前班级仅有三个座机可用，其中一个将于**9月20几号到期**
## 九、资助政策说明
- 高中资助政策与初中不同，所有补助将打入**学生医保卡账户**
- 相关资助政策已发至家长群，请家长查阅
- 提醒家长关注补助资金到账后的使用情况，避免学生挥霍
# 家长反馈
家长代表张宇波校长（兼语文老师）分享家庭教育经验：
- 关注孩子身体健康和心理健康，高中阶段仍是长身体的关键时期
- 教育孩子先学会做人，不能沾染不良风气
- 家长应保持平常心，孩子面临的学习压力很大，要帮助孩子正确面对挫折和失败
- 尊重孩子，给孩子自由空间，不要轻易给孩子消极评价
- 多倾听、多交流，给予孩子更多关爱与理解
- 配合学校制度，支持老师工作
&gt; “无论怎样，那你都是爸爸妈妈心里最优秀的儿子”——家长代表分享与孩子沟通时的原话
# 共识与配合事项
- [ ] **家长**：管控孩子手机使用，不给孩子留多余手机，定期抽查孩子社交账号动态
- [ ] **家长**：关注孩子生活费使用情况，合理控制生活费额度（建议每周不超过150元），避免过度消费
- [ ] **家长**：督促孩子练字，购买字帖
- [ ] **家长**：关注孩子心理健康，多鼓励少批评，发现异常及时与班主任沟通
- [ ] **家长**：提醒孩子注意交通安全，未满16周岁不得骑电动车
- [ ] **家长**：配合学校安全教育，防范溺水、诈骗、校园欺凌等
- [ ] **家长**：为孩子创造和睦、祥和的家庭氛围，避免当着孩子面长时间玩手机
- [ ] **家长**：帮助孩子制定合理目标，激发学习潜能
- [ ] **家长**：根据家庭情况自愿购买学平险，办理电子学生证（移动套餐78元/月）
- [ ] **家长**：关注资助政策，补助到账后引导孩子合理使用
- [ ] **班主任**：加强自习课管理，培训班委，提升学生自主管理能力
- [ ] **班主任**：严格执行班规班纪，加强手机管理
- [ ] **班主任**：定期与家长沟通学生在校表现
- [ ] **班主任**：将各科老师联系方式发至家长群
- [ ] **家委会**：已成立家长委员会（自愿报名，至少3人），后续参与班级事务协商</t>
  </si>
  <si>
    <t># 例会概况
本次会议为10月28日周会，会议性质为自愿级，主题为总结工作。会议资料包括工作报告、班级看法、班级型社区介绍。会议目标是初步统一成员意见，统一对社区的认识，并优化社区展示效果。会议围绕社区建设方向、任务分配、课程开发、执法队伍组建、教育团队建设等议题展开讨论，涉及社区定位、成员招募、活动策划、待遇标准等内容。
# 工作进展
## 一、社区建设与定位
- 🔄 进行中：社区介绍文件修改，已将"我们是谁"部分提前至最上方，优化展示顺序
- 🔄 进行中：社区展示效果优化，计划为社区"穿上新衣服"，提升美观度
- 🔄 进行中：统一成员对社区的认识，明确社区定位与工作方向
## 二、任务推进情况
- ✅ 已完成：学习介绍文件编制
- 🔄 进行中：**组建执法队伍**，被明确为下一个月的主要任务，为当前最重要工作
- 🔄 进行中：课程开发任务推进中
- 🔄 进行中：大运发放工作，需进行调试，目前该工作刚启动，负责人为志愿者身份
- 🔄 进行中：邀请同事加入，会后将沟通有意愿者
- 🔄 进行中：修订纲领章程，已初步完成修订，等待成员确认
## 三、具体工作安排
- 任务一：确定路线，修订纲领章程
- 任务二：安排任务分工，对有意愿运行的人员进行任务分配
- 任务三：参加互联网+创业大赛
- 任务四：根据学校需求学习所需技能，实现一定范围内的教师改革
- 活动安排：需完成两个活动，活动重要性不高但需成员配合
## 四、待遇与福利
- 待遇标准：上班5000元，额外有奖励，另有提成
- 休假安排：周五半天加周末两天
- 薪资待遇将在月会上发放
- 全场活动的优美和棒棒糖待遇尚未发放，需发放完成后方可入职
## 五、其他事项
- 仪表盘趋势显示余额比上次增多，原因是有两个账单未发送
- 社区环境建设强调"人不出去怎么学习"的理念
- 服务定价权交由消费者，采用代购模式
- 公司从传统方法转向AI方法后，效率和质量均有提升
# 协作需求
- 邀请同事加入，共同制作解决方案，会后将有专人沟通有意愿的成员
- 需联系官方对接相关工作
- 任务分配需调整优先级，洛阳出差安排应排在第二项，需相关负责人修改
- 四个任务需明确"为什么做这几件事情"的逻辑，特别是占比最大的任务需招聘20多位师傅，组建教育班队
- 社区介绍修改需根据已调整的参数进行同步更新
- 营销工作介绍需先行发布，提升成员了解程度
- 会议纲要需继续修改完善
- 需添加新的任务项
- 线下继续讨论和学习安排，因会议时间已达一小时</t>
  </si>
  <si>
    <t># 就诊概况
患者张春和，男，48岁，因反复上腹不适就诊于消化内科。主诉近3个月上腹部（心窝处）反复烧灼样疼痛，病程已有4年，每年春季多发。疼痛与进食冷、硬、刺激性食物及工作紧张劳累相关，与油腻食物关系不大。患者曾于1年前及3个月前两次出现黑便，均住院治疗（约2-3天），住院后大便转黄。近2个月出现反酸、呕吐，呕吐物为酸水样，含当日或前日食物。患者自述有胃癌家族史（婶婶患胃癌），担心自身病情严重。医生初步了解病情后，建议完善大便检查及胃镜检查，并预约后天行胃镜检查。
# 诊断与检查结果
**初步诊断印象（待进一步检查确认）：**
- 上消化道疾病可能性大，需排除消化性溃疡、胃部肿瘤等病变
- 既往两次黑便史提示上消化道出血可能
**既往史：**
- 16岁时曾患甲肝，于三医院住院治疗1个月，出院时各项指标正常，此后体检肝功能均正常
- 小时候因扁桃体炎在儿童医院就诊，服用磺胺药后左手出现红疹伴瘙痒，持续约半个月，确诊为磺胺药过敏
- 双眼近视（400度）
- 偶发口腔溃疡
- 偶有头昏，考虑与休息不足有关
- 偶有腹泻，多与进食不洁食物有关，呈急性过程，可自行好转
**家族史：**
- 父亲76岁，有低血压；母亲75岁，有冠心病，药物控制良好
- 弟弟身体健康
- 婶婶（叔叔的爱人）患胃癌（无血缘关系）
**个人史：**
- 出生于成都，一直在成都生活、工作
- 就职于成都轻工研究所，从事科研工作，工作紧张，经常加班熬夜
- 吸烟史：既往每日约1包，现限制在每日10支以内
- 饮酒：偶饮，多为应酬场合
- 饮茶：每日约2杯淡茶
- 已婚，26岁结婚，育有1子，家人身体健康
# 治疗方案与医嘱
**检查安排：**
1. 留取大便标本送检，以明确有无消化道出血
2. 预约后天行胃镜检查（因患者希望爱人陪同，故安排在后天）
**用药情况（患者自述既往用药，非本次医嘱）：**
| 药品名称 | 剂量 | 频次 | 用法 | 注意事项 |
| --- | --- | --- | --- | --- |
| 斯达舒 | 初始每次1颗，后加量至每日4-5次 | 每日2次（初始）→ 每日4-5次（加量后） | 口服 | 初始有效，后效果不佳，自行加量仍效果欠佳 |
| 奥美拉唑（国产，武汉药厂） | 未详 | 未详 | 口服 | 服药期间有效，停药后症状反复 |
| 阿莫西林 | 未详 | 未详 | 口服 | 与奥美拉唑同服 |
| 胃炎合剂（单位医务室配置） | 未详 | 未详 | 口服 | 症状缓解后停药，停药后复发 |
**医嘱与生活建议：**
- 建议戒烟，吸烟对疾病恢复不利
- 尽量少饮酒，酒精对胃肠道疾病影响较大
- 注意避免进食生冷、辛辣等刺激性食物
- 注意劳逸结合，避免过度劳累和熬夜
- 医生将向上级张医生（指导教授）汇报病情，后续再商定治疗方案
- 关于手术问题，医生表示需待检查资料完善后再判断，若能药物控制则优先药物治疗，患者不必过度担忧
# 复诊与预警信号
**复诊安排：**
- 后天行胃镜检查，检查后恰逢张医生查房，届时可进一步讨论病情及治疗方案
**需警惕的预警信号：**
- ⚠️ 再次出现黑便（既往已发生两次，提示上消化道出血可能）
- ⚠️ 呕吐物中出现红色或黑色物质（提示活动性出血可能）
- ⚠️ 疼痛性质改变或程度加重
- ⚠️ 体重持续明显下降
- ⚠️ 出现吞咽困难或进行性消瘦
如出现上述情况，应立即就医。</t>
  </si>
  <si>
    <t># 讲座概况
本次讲座由基金经理肖楠主讲，围绕投资理念、研究框架与投资反思展开。讲座开篇即指出投资者普遍关心的"下一步会发生什么"类问题并非其研究重点，并深入阐释了知识与信息之间的鸿沟。随后，肖楠系统梳理了其投资哲学的两大对立流派——以巴菲特为代表的"极端务实派"与以索罗斯为代表的"极端务虚派"，并明确自身处于两者之间偏向左端的位置。讲座明确反对市场上流行的"抱团"与"均值回归"两种观点，认为其定义不本质、局部正确但代价惨重。在研究成果汇报部分，肖楠介绍了互联网、财富管理、新消费、高端制造四大重点研究布局方向，并分享了五点投资框架的反思与更新：对商业模式理解的补充、对终局判断与中期机会的平衡、对长期隐性变量的重视、对深度价值有效性的质疑，以及对"X factor"（驱动企业增长且不被线性描述的因子）的认知。最后，肖楠在问答环节就终局判断与中期机会的平衡、伟大企业的判断标准、全市场基金选股逻辑、商增与商减分析、增长曲线、财富管理行业投资逻辑及企业家精神观察等话题进行了深入交流。
# 核心观点与论证
## 一、知识与信息的鸿沟
肖楠开宗明义地指出，投资者普遍关心的"下一步会发生什么"（What happen next）类问题，并非其正在研究的问题。他提出两层含义：
**第一层：从投资者（他者）角度出发**——即使基金经理明确表达看好某个板块或个股，这对投资者而言仅是一条信息（information），而非知识（knowledge）。基金经理基于持续更新的知识做出判断，其观点可能次日即因新知识的增加而修正，而投资者可能需要一年甚至更长时间才能获知这一变化。**知识与信息之间存在巨大鸿沟**。
**第二层：从自身研究框架出发**——肖楠将问题分为"重要不重要、可研究以及难以研究"四个维度。他真正关心的是：`标的基本面是否发生变化`、`投资逻辑有无更新`、`对标的的认知是否更深入更领先`，以及`自身的投资框架有无值得修正之处`。这些问题可被研究，是"富矿"。他强调这张分类表仅针对其个人，例如基于宏观变量做资产配置的投资者，可能会将美联储利率变化对市场的影响视为既重要又可研究的问题。
## 二、投资流派谱系：务实与务虚
肖楠指出，市场上的基金经理理念和方法大致处于两个极端之间的某个位置：
- **极端务实派（以巴菲特为代表）**：认为股票是企业所有权的一部分，价值来源于企业价值即未来现金流。股票短期波动是随机的、不值得研究，研究重点应放在公司生意本身——公司行不行、管理层行不行。此类投资者买入长期持有，直到投资逻辑发生变化。
- **极端务虚派（以索罗斯为代表）**：认为股票实际上是筹码，价值来源于其他交易者对筹码的看法。交易本身非常重要，交易代表信息，股价波动代表信息。不仅要研究公司基本面，更要研究交易者基于基本面的行为。他们通过交易与市场对话，在交易中试错并获利。
肖楠明确表示自己处于两个极端中间偏左（偏巴菲特）的位置。他强调：**务实还是务虚没有高下之分，做好的都是大师，做不好都是东施效颦**。理解这一坐标谱系，就能理解为何某些类型的基金经理不会考虑某些类型的问题。
## 三、反对两种流行观点
### （一）反对"抱团"论
肖楠认为"抱团"这一**定义不本质**，会导致研究误入歧途。他以"光明使者"的比喻说明：若给一种动物起名"光明使者"（因它一叫太阳就出来），人们可能误以为宰了它太阳就不出来了——这就是不本质的定义带来的误导。
论证逻辑：
1. **主观意愿上不可能**：基金经理之间是竞争关系，不可能通过电话商量共同买入某只股票。每个基金经理都希望买别人没买的东西并获得市场认可。
2. **同一公司买入相同股票不构成抱团**：研究员推荐股票，多位基金经理认可后买入，这是正常投研流程。若将此定义为抱团，则意味着为防止"抱团"需限制研究员推荐的股票只能由少数基金经理购买，这显然荒谬。
3. **忽略时间维度**：抱团论是截面数据，忽略了时间变化。肖楠举例称其可能在8年前、5年前就已买入某些标的，后来大量资金蜂拥而至，这并非主动抱团。A股历史上"五朵金花""眉飞色舞""长牛医药消费"等现象均属此类，稀松平常。
### （二）反对"均值回归"论
肖楠将均值回归概括为"跌多了要涨，涨多了要跌"，认为这是一种**特别不本质的局部正确**。
论证逻辑：
1. 短期看K线图确实呈现均值回归特征，但拉长周期无法解释大量长线牛股10年涨10倍、20倍、50倍甚至100倍的现象。
2. 举例说明：某商学院老师在投资理论课上讲授其自编技术指标，过去十年在海螺水泥上做波段赚了两三倍，每次都很准。2016-2017年某次卖出后等待回调买回，结果该股两年涨了五六倍，此后再也没能买回来。**均值回归90%的时间正确，但10%的错误让人代价惨重**。
3. 核心结论：**收益率是幂律分布而非正态分布**。做投资的核心是找到那些摆脱"涨多跌多"局部规律的特长线超级大牛股。以美国股市200年数据为例，股市价值增量由4%的公司贡献——若剔除这4%的公司，200年来美国股市没有上涨。
## 四、四大研究布局方向
肖楠介绍了过去一年研究资源的四个重点消耗方向：
### 1. 互联网
全球范围内能将互联网做成巨大产业并诞生巨大公司的只有中国和美国。中国互联网产业在短短十几年间已迭代三代企业：第一代基于流量（门户网站、搜索引擎）、第二代基于运营管理（阿里、淘宝）、第三代基于算法（字节、拼多多）。肖楠强调不能容忍在该领域错失机会，尤其是开通港股通后，此前无法投资的公司现在具备了投资条件。
### 2. 财富管理行业
中国从一穷二白进入小康，人均收入中位数每向前挪动5%-10%，由于巨大的基数效应和收入分布密度效应，将产生巨额剩余财富，有待专业机构管理。该行业的潜在空间远超想象。
### 3. 新消费
新消费公司的"新"不在于产品够新，而在于**从CEO到组织架构到经营理念的全面不同**。从匮乏年代走出来的传统消费企业与富裕年代诞生的新消费企业，在生产方式、营销方式、组织构造上完全不同。随着中国越来越富裕，此类公司会越来越多。
### 4. 高端制造
中国是全球几乎唯一拥有全产业链的国家。深入到制造业细分领域会发现，中国已在很多领域占据主导地位，与十年前"10亿双袜子换台飞机"的认知完全不同。许多原本属于欧美日企业的市场份额，从中国企业的角度看已是"碗里的肉"，未来空间非常可见。
## 五、投资框架的五点反思与更新
### 反思一：对商业模式理解的补充
肖楠过去将生意分为三类：`坐地收钱`（最喜欢买）、`苦尽甘来`、`燃烧自己照亮别人`（不值得买）。至今仍相信这一分类框架，但承认其存在不完备性：
- **世界上没有一劳永逸的坐地收钱生意**，此类生意极端稀缺。即便是爱马仕这样的企业，设计师的好坏也可能对未来五年十年的销售产生重大影响。长期看所有企业都会死去。
- **从商增角度理解商业模式可能更本质**。一些企业从诞生到收入利润增长100倍，其组织结构与诞生时没有特别大的区别，即商增很少；而另一些企业在扩张过程中商增剧烈增加，商增到一定程度后，科斯定理表明企业已没有存在的必要。从商增角度理解企业成长过程中的成本项，可能更本质地帮助理解商业模式。
### 反思二：终局判断与中期机会的平衡
肖楠坦言，过去因强调对企业终局的判断（认为终局不好或看不清），放弃了一些中期投资机会，甚至错过了10倍级别的投资机会。举例说明：曾有一家企业产品跨代领先竞争对手，但当时判断这种领先不能长期保持——竞争对手会学习追赶，行业格局会变差，ROE会剧烈下降。事实证明判断正确，一两年内行业格局确如所料，但该企业在此过程中涨了十几倍，完全错过。
**结论**：在坚持终局重要性判断的基础上，也要争取研究格局演进的阶段性特征，把握中期投资机会。可通过紧密跟踪认知快速迭代、识别里程碑式事件来提升胜率。
### 反思三：长期隐性变量的重要性
肖楠提出一个引人深思的问题：**为什么日本、德国、越南没有诞生巴菲特、索罗斯这样的投资大师，而美国有？** 中国股市短短20多年也诞生了收益率非常好的基金经理，但同样的方法放到台湾、日本、韩国是否还能取得同样收益？他认为很不一定。
论证逻辑：
1. 过去西方世界无人预料到中国和平稳定高速发展30-40年，这是一个隐藏的巨大变量，某种程度上可称为"国运"。
2. 以茅台为例：不同时期买入茅台的人各有理由——便宜、产品好、商业模式好——但这些逻辑加在一起能否解释过去十年二十年茅台如此巨大的涨幅？可能存在一个被集体忽视的更大变量（宏观经济背景、文化背景、品牌背景等）。
3. 以奢侈品牌为例：LV、爱马仕讲述的故事是"祖上给皇上当过马夫、给娘娘当过皮匠"，但为什么是英国、法国的皇上和娘娘？因为这些老牌资本主义国家的军舰当年横扫全世界，其文化是强势文化。20年前天涯论坛上"中国GDP何时超过日本"的帖子被群嘲，今天已无人质疑。
4. 关于白酒国际化：欧美人不喝白酒，普遍答案是"不好喝"，但肖楠认为这不是正确答案。30年前洋酒进入中国时，中国土豪兑雪碧喝，因为难喝才兑雪碧，但难喝也要喝——因为人家的文化是强势文化。反过来，若有一天中国国力强盛到可以定义"什么是好酒"——"纯粮固态发酵的酒才是好酒，whisky、白兰地、清酒都是液态发酵法做出来的，不值钱"——这个故事什么时候讲得通？**当中国的海军、航空母舰在人家十二海里外做军事演习的时候，这个故事就讲得通**。
**结论**：穷尽所有智慧和精力探究收益率来源，依然可能忽略一个巨大的长期变量在起作用。要对市场保持谦卑，同时保持大胆想象。未来研究将把一些十年维度上起作用的隐性长期变量纳入考量。
### 反思四：深度价值可能长期无效（打问号）
肖楠认为深度价值只是一个结果，而非原因。如果导致深度价值的原因不变，那么深度价值最好的结果也就是不输。过去投了一些被认为是深度价值的标的，结果非常差，产生了很大启发和刺激。**深度价值某种程度可能会不会无效，此事打了问号，未得结论**。
### 反思五：小企业的X factor
经典投资模型（DCF、DDM）都是线性假设，无非是对增长率的估计不同（12%、13%、14% vs 15%、16%、17%）。但拉长到10年视角，企业发展是一条曲线而非直线。肖楠引用一位理科背景创业家的话：企业的发展类似于用直线逼近曲线——短期看是线性增长，长期看是一条非常漂亮的曲线。
**核心概念**：`X factor`——驱动企业增长且不被线性描述的因子。经典投资模型中没有变量隐含对企业发展曲率的估计，但现实中大量企业做着同样的事情、生产差不多的产品，结果差异巨大，原因就是曲率因素在起作用。这些因素无法被经典模型定价，但长期起作用的正是这些因素。
**结论**：即使无法有效定价，也必须承认X factor的存在，否则会陷入两难——好企业估值贵、便宜企业基本面差。回顾一些今天已涨得很大的企业，5年10年前市场普遍认为其产品渗透率已很高、利润率已很高，但那些判断全部落空，企业长出了第二、第三增长曲线。**超额认知正来自于这些方面**。
## 六、问答环节要点
### 关于终局判断与中期机会的平衡
肖楠坦言无法详述具体标的，但说明这一想法的来源是错过特别大的机会带来的懊恼。复盘发现，当时明明判断对了终局（如产品领先被追上、行业格局变差），却在两三年里错过了十几倍涨幅。关键在于：这类企业往往在原有优势被追上后，**做出了第二增长曲线，且第二增长曲线的壁垒比第一增长曲线更深更厚**。未来希望在承认终局可能没那么强的情况下，依然能做出好的投资。
### 关于伟大企业的判断标准
肖楠表示**伟大公司在财务指标里看不出来**。他举例说明：两家同属大行业但不同细分子行业的公司，都将成本做到行业最低、市场份额稳固提升，但A公司每年有高额研发支出，关键技术指标以非常强的速度迭代，且研发方向包含掌握在德国人、日本人手里的前沿技术；B公司不做研发，靠精益求精的管理形成壁垒。A公司的历史特别有意思——发展初期被德国人、日本人狠狠坑过，从董事长到技术骨干积攒了强烈的产业报国、技术报国理想，从跟着学、越做越强、超越对手、对手反过来学习，到开始全产业链布局。**这种企业堪称伟大**。
### 关于全市场基金的选股逻辑
肖楠强调选股逻辑不分消费内外，都是统一的：`不可能三角`、`企业三阶段`、`三种商业模式`。消费行业基金只许买消费，所以只能在消费行业内选，但逻辑完全一样。
### 关于血制品行业竞争壁垒
肖楠表示初步研究后认为血制品行业壁垒不是特别强，不是其想要的那种强壁垒，因此未做深入展开。
### 关于农林牧渔行业配置提升
肖楠解释行业配置提升是因为牧原股份这一只股票，并非看好整个农林牧渔行业。因监管原因不便在公开场合详述具体个股投资逻辑。
### 关于商增与商减的分析
肖楠以直白的方式解释：企业从小到大，部门越来越多，传达效率变低，内部腐败出现，于是需要设置巡视检查部门，又增加管理成本。有些生意收入从10亿做到100亿，机构没多几个部门；有些企业则需要大量副总裁和高管。**有些企业是被商增拖死的**。他特别建议读党史，学习组织如何从革命时期一路保持活力——"我们这个组织到今天能够保证这样的活力怎么做到，这是一个非常厉害的事情"。有些国家也是被商增拖死的，"一条铁路修几十年"在很多国家都会发生。
### 关于伟大企业的增长曲线
肖楠以顺丰和美的为例：疫情时只有顺丰能送，一下子把竞争对手甩开；家电领域格力一直是老大，美的做渠道扁平化、T+3等改革长期看不到成果，疫情一来美的占有率一下子超过格力。**这些伟大企业都是在一些特别特殊的时候拐上去的**——平时走在路上大家都好好的，突然来一场雨，发现有一个人带伞了，别人都淋成落汤鸡。
### 关于财富管理行业的投资逻辑
肖楠指出财富管理行业特别大且分层：顶级富豪、中产阶级、中低收入人群的财富管理各有不同商业模式。最早从研究保险入手，发现不同保险公司业务员单均保费差异巨大（七八千 vs 两三千），背后的结构设置、激励机制、文化差异巨大。基金销售中同样如此：有的渠道经理问的问题超级专业，有的永远只问"下半年是涨是跌"。**财富分布超级不均匀，导致头部公司可能一口气拿掉行业增量的绝大部分，在这种幂律分布特别偏激的行业里，可能诞生特别大的企业**。但因监管和合同限制，部分产品暂时无法投资类似标的。
### 关于企业家精神的观察心得
肖楠提出两点心得：
1. **评判企业家精神要特别小心谨慎，不要乱归因**。不要因为企业经营成功就说企业家特别厉害，就像不要因为基金经理业绩好就说他特别厉害。要把所有能归因到数据里、客观指标里的因素全部归因完后，再谨慎评价虚的因素。
2. **不要轻易给这些因素定价**。绝对不要说"因为这个企业家在，所以公司值多少"。他强调的不是如何通过企业家精神获得机会，而是**避免错误归因，避免因对企业家个人的认可而犯投资错误**。底线风险必须控制好。这些虚的因素（技术进步、企业家精神、X factor）在所有客观归因穷尽之后再考虑。只能在限定条件下做两两比较——同样生意、同样产品，比较两位企业家的水平高低、理念先后，不要跨行业、跨业务、跨产品比较。要谨慎使用"企业家精神""伟大企业"等表述，在特别极端的时候可以作为信仰上的支持，但尽量不要用。
# 金句总结
&gt; "知识和信息之间有着巨大的鸿沟。"
背景：肖楠以此说明投资者从基金经理处获得的观点仅是信息而非知识，基金经理基于持续更新的知识做出判断，观点可能随时修正，而投资者获得信息时往往已滞后。
&gt; "务实还是务虚，其实没有高下之分的。做好的都是大师，做不好都是东施效颦。"
背景：在介绍巴菲特与索罗斯两大投资流派时，肖楠强调理念本身没有好坏，执行才是关键。
&gt; "均值回归这个事情，90%的时间都正确，那10%的错误依然让你代价惨重。"
背景：以商学院老师在海螺水泥上做波段最终踏空为例，说明均值回归是"特别不本质的局部正确"。
&gt; "收益率是幂律分布的，不是正态分布的。"
背景：肖楠以此作为反对均值回归的核心论据，指出市场绝大部分收益率由极少数长线牛股贡献。美国股市200年价值增量由4%的公司贡献。
&gt; "如果你把定义不本质，会导致我们对这个东西的研究误入歧途。"
背景：肖楠反对"抱团"论时指出，不本质的定义如同给动物取名"光明使者"，会让人误以为宰了它太阳就不出来了。
&gt; "长期看所有的企业都要死去。"
背景：肖楠反思"坐地收钱"商业模式的不完备性时指出，世界上没有一劳永逸的生意，不能单一维度出发错失机会。
&gt; "我们经常对市场保持谦卑，有的时候我们可能在做投资的时候要考虑这个变量的时候，所以一定程度上要保持一定的谦虚。"
背景：肖楠论述长期隐性变量（如国运）对收益率的巨大影响时强调，穷尽智慧也可能忽略巨大变量，需保持谦卑。
&gt; "纯粮固态发酵的酒才是好酒，像什么whisky、白兰地、清酒这些东西都是液态发酵法做出来的，都特别不值钱。这个故事可不可以讲？可以讲。什么时候可以讲？就中国的海军、中国的航空母舰在人家十二海里外做军事演习</t>
  </si>
  <si>
    <t># 辩论内容概述
本场辩论赛围绕“拥有让任何人爱上自己的超能力，是好事还是坏事”这一脑洞题展开。正方（RUC棒辩论队）主张拥有这种超能力是美好的，认为它能让真爱得以实现，让掌握红线的人比命运更可靠；反方则主张这种超能力本质上是剥夺对方自由意志的精神控制，是对爱的亵渎，将导致爱情变质。双方就爱的本质、自由意志与爱情的关系、超能力的使用机制、占有与爱的区别等核心问题展开了激烈交锋。
# 核心论点
正方核心立场：拥有让任何人爱上自己的超能力是美好的、值得提倡的。反方核心立场：这种超能力本质上是精神控制，剥夺了对方的自由选择权，是对爱的亵渎。
| 阵营 | 立论框架 | 核心论点 | 支撑论据 |
| --- | --- | --- | --- |
| 正方 | 爱是玄学，超能力是让真爱实现的工具 | ①爱本身不受自由意志控制，因此超能力并未剥夺对方本可自主选择的爱；②与其把红线交给不靠谱的月老/命运，不如交给真正爱你的人；③超能力本身无善恶，关键在于使用者的动机 | ①“坠入爱河”而非“跳入爱河”，说明爱不是意志的产物；②月老和丘比特本身也是超自然力量，但人们认为其浪漫；③如果超能力能拯救被渣男伤害的人，那就是好事；④科学无法解释“为什么偏偏对他产生感觉”，说明爱有玄学成分 |
| 反方 | 爱包含自由意志的选择，超能力本质是精神控制 | ①爱当中由自己做出决定去爱对方这件事同样重要，超能力抹杀了对方的决定；②通过洗脑/精神控制获得的爱不是真爱，而是占有；③超能力让爱情来得太容易，会导致爱情变质、不被珍惜 | ①类比强奸——违背对方意志强行介入亲密关系；②洗脑式获得的爱类似PUA，是变态的占有而非爱；③如果对方原本不爱你，打响指后“一定爱上你”，这与强奸犯“意乱情迷”的辩解逻辑相同；④使用超能力者成为“世界中心”，对方失去说“不”的权利 |
# 自由辩论环节
**争议点一：爱是否受自由意志支配**
- 正方质疑：爱或不爱真的是人能通过意志自由决定的吗？“我选择爱上你是不是特别扯？我深思熟虑之后，我决定对你怦然心动一下？”正方以“情非得已”“坠入爱河”等表述论证爱不是意志的产物。
- 反方反驳：虽然爱有时说不出理由，但“爱当中由我自己做出决定去爱他这件事情同样重要”，超能力恰恰抹杀了这个决定。
**争议点二：超能力的运作机制是洗脑还是其他**
- 反方攻击：如果超能力是“打个响指对方就指定爱你”，这与强奸犯“意乱情迷”的辩解逻辑无异，本质是违背对方意志强行介入亲密关系。
- 正方回应：超能力的机制不一定就是洗脑，“可不可以是我打了响指之后，生了一张他100%会爱上我的脸？”既然爱是玄学，不知道爱发生的机理，那超能力可能通过多种方式实现，不必然是精神控制。
**争议点三：占有与爱的区别**
- 反方：通过洗脑获取对方的爱，“怎么听都更像是单纯的占有，不像是爱”。
- 正方：发动超能力的前提是你真心爱对方，这与单纯的占有有本质区别；且如果通过洗脑方式获取爱，要么说明你不爱对方，要么洗脑根本换不来真爱，只能换来服从。
**争议点四：超能力是否会导致爱情变质**
- 反方：爱情来得太容易就不被珍惜，超能力让爱失去来之不易的价值。
- 正方反驳：“难道我们在恋爱过程当中珍不珍惜对方这件事情完全看我们之间的新鲜感？”如果珍惜程度与获得爱的难易程度成正比，那一见钟情就不该被珍惜。“我们最能够让爱保鲜的方式就是在恋爱过程当中相互忽略……我怎么样不答应你，怎么样让你觉得不舒服，我就怎么来”——正方以此讽刺反方逻辑的荒谬。
**争议点五：放手的爱与红线掌握在谁手里**
- 反方：真正的爱应该保留对方选择的空间，“只要他有权利，他有余地，他有机会说不”。
- 正方反问：你爱的人可能会爱上谁、对方对他好还是坏你都不知道，“你这么爱他的人，你怎么放心把他交给一个未知的某某某呢？”与其交给不靠谱的命运或月老，不如掌握在真正爱你的人手中。
**争议点六：类比“100%被爱的脸”**
- 正方类比：如果有一张人见人爱的脸，谈恋爱时要不要把脸遮起来？如果超能力需要被禁止，那美貌是否也该被禁止？
- 反方回应：世界上没有任何人长着“100%被所有人爱”的脸，但超能力是100%确定的效果，两者不可类比。
&gt; 反方关键反驳：“这个人原来不爱你的，但是你打了响指，他就一定爱上你了。这个和很多强奸犯讲的道理是一样的——我没有违背他的意志，他那个时候意乱情迷……你在强迫对方爱你。”
&gt; 正方关键回应：“正是因为不知道爱这件事情它发生的机理是什么，所以我们认为最浪漫也最懂……你方天然就认为你一定是通过洗脑来获取他的爱。第一个问题，洗脑真的是爱吗？第二个，我真的能获得爱吗？”
# 结辩与评委点评
**正方结辩核心**：对方所有关于“厉害”的论证都建立在“超能力=精神洗脑”的预设上，但对方始终没有论证“在爱或不爱这件事上，人是有自由意志的”。爱一个人不是深思熟虑的决定，“坠入爱河”本身就说明爱不是意志的产物。此外，如果超能力真的通过洗脑方式运作，要么说明使用者不是真爱，要么洗脑只能换来服从而非真爱。关于爱情变质问题，珍惜与否取决于是否认真对待感情，而非获得爱的难易程度。最后，正方强调：你爱的人可能会被命运安排给一个渣男，与其把红线交给不靠谱的月老，不如交给真正爱他的人。
**反方结辩核心**：使用超能力者成为“全场唯一真神”“世界的王”，对方在这段关系中完全围绕你转，失去了说“不”的权利。在结婚典礼上，对方满心欢喜地说爱你，但“全世界只有一个人知道这个爱来源于我，不来源于他的选择”。茫茫人海中他有机会选择你，这是对你的认可，而超能力把“那个唯一的、真正鲜活的选择”给取消掉了。反方还指出，爱一个人应当保留对方选择的空间，即使面对“爱的人可能爱上渣男”的情况，也不能因此剥夺对方的自主权。
**评委点评**：评委指出正方将爱提升到玄学层面进行切割，认为“所有带来伤害的部分不叫真爱”，但这一界定存在争议。评委也反思了超能力带来的诱惑与人性自私面的问题——“作为一个人，我突然有了一个像天一样逆天改命的机会，我应不应该把它用在我爱的人身上？……我稍微有一点想到了这一层之后，我就觉得应该谨慎。”评委同时指出人类仍在进化，相关问题可以在后续交流中继续探讨。
**获胜方**：正方（RUC棒辩论队）</t>
  </si>
  <si>
    <t># 就诊概况
患者为结肠癌术后患者，2023年9月因突发腹痛就诊，确诊结肠癌并接受结肠癌切除手术，术后完成8期化疗。化疗后复查发现肝转移，于去年9月在北京行肝脏消融术及乳腺结节切除术，术后因肝功能不佳仅完成一次化疗，后续靶向治疗中断约3个月。今年3月底复查发现肝脏、肺部及腹膜再次出现转移。4月份行PET-CT检查提示存在较广泛转移，肠镜检查未见异常，但PET-CT显示肠壁有异常。患者家属就诊咨询后续治疗方案，医生建议以全身系统治疗为主，强调需重新进行基因检测以指导精准治疗。
# 诊断与检查结果
- **诊断**：结肠癌术后伴肝转移、肺转移、腹膜转移，疾病进展期（第四阶段）
- **关键检查结果**：
  - 2023年9月：因突发腹痛就诊，确诊结肠癌，行结肠癌切除手术
  - 术后完成8期化疗，复查发现肝转移
  - 去年9月：行肝脏消融术及乳腺结节切除术，术中发现腹膜转移，肠切除可能不彻底
  - 消融及乳腺结节切除术后行化疗，仅第一次完成，后续因肝功能不佳停用部分化疗药物，靶向治疗中断约3个月
  - 今年3月底复查：发现肝脏、肺部及腹膜再次出现转移
  - 今年4月：PET-CT显示较广泛转移，包括肝脏、肺部、腹膜及肠壁
  - 上个月肠镜检查显示未见异常，但PET-CT显示肠壁存在异常，医生认为可能为肠镜操作质量所致
  - 患者既往有进食海鲜后上吐下泻史，长期肠胃功能较弱
# 治疗方案与医嘱
**核心治疗策略：以全身系统治疗为主，暂不优先考虑局部介入治疗（如肝消融）**
1. **基因检测**：医生强烈建议重新进行基因检测，包括：
   - 对既往手术病理切片进行再检测（第一次、第二次、第三次切片）
   - 建议进行二代测序（NGS），可检测更多基因位点，敏感性更高
   - 检测目的：寻找可用的靶向治疗及免疫治疗靶点，指导后续用药选择
   - 检测样本可来源于组织切片，也可考虑血液、尿液、唾液等液体活检
2. **系统治疗方案**：化疗、靶向治疗、免疫治疗及其联合方案
   - 医生指出既往化疗方案可能效果有限，需通过基因检测结果确定更精准的治疗方案
   - 提及靶向药物联合免疫治疗的可能性（如某靶向药为结肠癌三线用药，联合免疫治疗可能产生协同作用，1+1&gt;2的效果）
   - 强调免疫细胞状态评估的重要性，免疫细胞数量不足可能影响免疫治疗效果
3. **对症支持治疗**：
   - 建议使用四联康（益生菌制剂）改善肠道功能，尤其在腹泻或肠道不适时
   - 注意饮食卫生，避免诱发肠道症状
| 药品名称 | 剂量 | 频次 | 用法 | 注意事项 |
| --- | --- | --- | --- | --- |
| 四联康（益生菌） | 未提及 | 未提及 | 口服 | 肠道不适时使用，改善肠道菌群 |
4. **生活与护理建议**：
   - 患者目前自我感觉良好，医生建议保持良好状态，提升自身免疫力
   - 家属应帮助患者调整心态，积极配合治疗
   - 医生强调治疗方案需由家属与医生共同商定，患者可参与免疫评估
# 复诊与预警信号
- **复诊安排**：医生建议尽快完成基因检测后，根据检测结果制定下一步系统治疗方案
- **预警信号**：
  - ⚠️ 患者目前存在肝脏、肺部、腹膜及肠壁多处转移，属疾病进展期，需密切监测病情变化
  - ⚠️ 既往化疗中曾出现肝功能不佳导致停药，后续用药期间需密切监测肝功能
  - ⚠️ 如出现剧烈腹痛、消化道出血、严重呕吐等急性症状，需立即就医
  - ⚠️ 患者肠道功能较弱，如出现严重腹泻、脱水等情况，应及时处理并就医</t>
  </si>
  <si>
    <t># 产品概况
海尔洗干集成机迭代H2是海尔为中国家庭打造的原创洗干集成新物种，于海尔洗衣机创新发布会上正式发布。该产品针对中国80%用户将洗烘套装在阳台叠放使用所面临的屏幕过高、开门方向相反、水盒太高太沉等操作不便问题，专为客阳一体空间设计，以一体集成机身实现洗烘护三合一。产品核心Slogan为"纯净永无止境"，主张"爱是一体，有和为家"，旨在让用户告别传统晾晒方式，享受整洁有序的新阳台生活方式。
# 核心卖点与技术参数
## 🏠 一体化集成设计
| 维度 | 本产品 | 上代/竞品 | 提升 |
| --- | --- | --- | --- |
| 机身高度 | `167厘米` | 传统洗烘套装叠放较高 | 不用踮脚尖即可轻松操作 |
| 机身厚度 | 超薄机身 | 传统机型较厚 | 完美嵌入`60厘米`标准橱柜，全平不突出 |
| 开门方向 | 同向开门 | 洗烘套装开门方向相反 | 取放衣物流畅自如 |
| 水盒设计 | 无水盒设计 | 传统水盒过高过沉 | 无需手动倒水 |
| 安全隐患 | 一体集成机身 | 洗烘套叠放存在震动隐患 | 解决震动等安全隐患 |
## 🧠 灵犀洗烘联动系统
H2搭载全新升级的智慧大脑，利用中枢神经式的智能网络，让上下桶默契配合。与洗烘套装"貌合神离"的独立运作不同，H2独有的**灵犀洗烘联动**可实现数据共享，让烘干和洗涤无缝连接。洗涤结束前，上桶将提前`15分钟`主动预热，进一步缩短烘干时长。
## 🔥 原创双擎热泵技术
搭载原创双擎热泵技术，大件烘干不缠绕，并首次引入行业领先黑科技**3D透视烘干**。无论是羽绒服还是水洗被，都可以一次烘透，免去二次晾晒的烦恼。
## 🧼 精华洗2.0
升级精华洗2.0技术，能够激活洗衣液，`39分钟`洗净一周衣物。更有新鲜净水漂洗，减少洗衣液残留，对残留泡沫敏感的人群是巨大的福音。
## 🌬️ 空净过滤系统
搭载空净过滤系统，能够轻松去除衣物的线屑和毛絮，更适合养宠物的用户。洗衣无残留、干衣无毛絮，特别适合有宝宝的家庭。
## 🔇 三台变频电机
搭载`三台变频电机`，洗涤、甩干、烘干全过程噪音都很低，让用户充分享受安静陪伴的时光。
# 定价与发售信息
| 版本 | 价格 |
| --- | --- |
| `10kg` 3D透视烘干款 | `12998元` |
| `10kg` 净净双擎热泵款 | `10998元` |
# 市场定位与目标用户
## 目标人群
- **追求客阳一体家居风格的年轻用户**：希望在阳台进行休闲娱乐、健身、社交等活动，不愿被悬挂晾衣占据空间
- **养宠家庭**：需要有效去除衣物毛絮、线屑
- **有宝宝的家庭**：关注洗衣无残留、干衣无毛絮的健康洗护需求
- **对洗衣液残留敏感的人群**：受益于新鲜净水漂洗功能
- **注重生活品质的家庭**：希望从漫长家务中解放出来，享受整洁有序的阳台空间
## 典型使用场景
产品专为客阳一体空间设计，可完美嵌入60厘米标准橱柜，适用于中国家庭阳台改造场景。发布会现场展示了年轻人在阳台休闲娱乐、健身社交的生活场景，以及家庭中宝宝在整洁阳台玩耍的画面。
## 差异化竞争力
海尔迭代H2以"洗干集成新物种"为定位，区别于传统洗烘套装的简单组合，通过一体化集成设计、灵犀洗烘联动、3D透视烘干等创新技术，解决了中国家庭阳台空间有限、操作不便的实际痛点。产品定价体现了海尔对平嵌超薄产品的诚意定位，旨在让更多向往整洁有序新阳台的用户体验"真香"的生活方式。</t>
  </si>
  <si>
    <t># 全文摘要
本次会议为中共巢湖市银屏镇白母山村芦塘支部委员会换届选举党员大会。会议应到有选举权正式党员8名，因病请假1名，实到7名，符合法定人数。会议在镇党委组织委员钱小丽同志到会指导下，听取并审议通过了上届支部委员会工作报告，依次通过了大会选举办法、支委候选人名单和监票人、计票人名单，四位候选人分别进行了竞职演说。经无记名投票，选举产生新一届支部委员会委员3名，随后召开第一次支委会全体会议，选举产生支部书记并完成委员分工。新当选支委代表作了表态发言，大会在完成各项议程后圆满结束。
## 会议开幕及领导讲话
- 会议主持人宣布会议开始，全体起立奏国歌
- 镇党委组织委员钱小丽同志代表镇党委就换届选举工作提出三点意见：充分认识大会重要意义；正确行使选举权，严格把握选举要求；服从大局，严格遵守选举纪律
- 钱小丽同志希望新一届班子加强学习、提高素质，发挥战斗堡垒作用，带领全村党员和群众将芦塘村建设得更加美好
## 上届支部委员会工作报告
- 报告回顾了三年来的主要工作：加强思想政治建设和理论学习，努力提高党员干部思想理论水平
- 着力抓好党支部建设工作，严格实行支部议事决策制度、民主生活会制度、民主评议党员制度、党员联系服务群众制度，新发展党员1名，按规定收缴党费2640元并上交上级党组织
- 扎实开展主题教育活动，认真开展"两学一做"学习教育常态化制度化和"讲严立"专题警示教育活动
- 积极开展党务公开，将年度工作计划、党风廉政建设、党费收缴等内容通过党内会议、公开栏等形式公开
- 认真抓好党风党纪教育，筑牢拒腐防变的思想防线，落实党风廉政建设各项责任
- 指出存在的不足：党建工作制度不够完善；党员主体意识尚需提高，个别党员干部服务中心、服务大局意识不强；党支部对党员的教育管理监督不够深入
- 与会党员对报告表示满意，鼓掌通过
## 大会选举议程
- 通过党员大会选举办法：选举中共芦塘支部委员会委员3名，候选人4名（差额不少于应选名额20%），采用无记名投票方式，候选人按姓氏笔画为序排列
- 宣读镇党委批复：同意卢燕娇、辛东升、杜军强、秦磊为委员候选人预备人选，卢燕娇为书记候选人预备人选，批复日期为2019年10月12日
- 通过监票人贾淑玲，计票人黄婷丽、刘彩云
- 四位候选人依次进行竞职演说：卢燕娇表示将加强支部建设、推动村集体经济发展、抓好民生工程落实；杜军强表示将发挥桥梁纽带作用，更好为党员和群众服务；辛东升表示将严格要求自己，做合格党员干部，圆满完成上级党组织分配的各项任务；秦磊表示自己有较强责任心和较高思想觉悟，将配合上级工作，当一名合格的支部委员
## 支部委员选举及结果
- 大会工作人员清点人数：应到会有选举权党员8名，因病请假1名，实到7名，达到应到会人数的4/5，可以进行选举
- 监票人员检查并封好票箱，分发选票，说明填写方法和注意事项
- 投票结束后清点票数：发出选票7张，收回选票7张，选举有效
- 计票结果：卢燕娇6票，杜军强6票，秦磊2票
- 根据大会选举办法规定，卢燕娇、辛东升、杜军强当选为新一届中共巢湖市银屏镇白母山村芦塘支部委员会委员
## 第一次支委会全体会议及书记选举
- 召开新一届支部委员会第一次全体会议，宣读并通过第一次全体会议选举办法
- 介绍书记候选人建议名单，建议卢燕娇同志继续担任支部书记，鼓掌通过
- 通过监票人、计票人由辛东升同志担任
- 发出选票3张，收回选票3张，卢燕娇同志以3票当选为新一届党支部书记
- 进行委员分工：辛东升同志负责组织宣传工作，杜军强同志负责纪检工作
## 新当选支委代表表态发言及会议闭幕
- 新当选支委代表表示将做好三方面工作：抓好支部学习工作，争创学习型支部，认真组织开展"不忘初心、牢记使命"主题教育；抓好支部制度建设工作，争创制度型支部，增强党支部凝聚力、战斗力；完善基层党组织建设，争创服务型支部，严格按照《中国共产党支部工作条例（试行）》加强支部建设，发挥战斗堡垒和党员先锋模范作用
- 主持人宣布换届选举大会圆满结束，全体起立奏国际歌</t>
  </si>
  <si>
    <t># 报告概况
本报告为国务院在第十四届全国人民代表大会第二次会议上所作的《政府工作报告》，由国务院总理代表国务院向大会报告政府工作，并请全国政协委员提出意见。报告全面回顾了2023年政府工作成效，明确了2024年经济社会发展总体要求、主要预期目标及政府工作任务。整体基调务实进取，既客观总结成绩，也清醒正视困难挑战，强调在以习近平同志为核心的党中央坚强领导下，坚持稳中求进工作总基调，完整、准确、全面贯彻新发展理念，着力推动高质量发展，以中国式现代化全面推进强国建设、民族复兴伟业。
# 核心政策
- **2023年经济总体回升向好**：国内生产总值超过**126万亿元**，增长**5.2%**，增速居世界主要经济体前列；城镇新增就业**1244万人**，城镇调查失业率平均为**5.2%**；居民消费价格上涨**0.2%**，国际收支基本平衡。
- **现代化产业体系建设取得重要进展**：国产大飞机C919投入商业运营，国产大型游轮成功建造；新能源汽车产销量占全球比重超过**60%**。
- **科技创新实现新的突破**：航空发动机、燃气轮机、第四代核电机组等高端装备研制取得长足进展；人工智能、量子技术等前沿领域创新成果不断涌现。
- **安全发展基础巩固夯实**：粮食产量**1.39万亿斤**，再创历史新高；可再生能源发电装机规模历史性超过火电，全年新增装机超过全球一半。
- **民生保障有力有效**：居民人均可支配收入增长**6.1%**；脱贫地区农村居民收入增长**8%**；提高“一老一小”个人所得税专项附加扣除标准，**6600多万**纳税人受益。
- **2024年主要预期目标**：国内生产总值增长**5%左右**；城镇新增就业**1120万人**以上；城镇调查失业率**5.5%左右**；居民消费价格涨幅**3%左右**；居民收入增长和经济增长同步；粮食产量**1.3万亿斤以上**；单位国内生产总值能耗降低**2.5%左右**。
- **财政政策安排**：赤字率拟按**3%** 安排，赤字规模**4.06万亿元**；一般公共预算支出规模**28.5万亿元**；拟安排地方政府专项债券**3.9万亿元**；今年先发行**1万亿元**超长期特别国债，专项用于国家重大战略实施和重点领域安全能力建设。
- **货币政策取向**：稳健的货币政策要灵活适度、精准有效，保持流动性合理充裕，社会融资规模、货币供应量同经济增长和价格水平预期目标相匹配，促进社会综合融资成本稳中有降，保持人民币汇率在合理均衡水平上基本稳定。
# 重点工作
## 一、大力推进现代化产业体系建设，加快发展新质生产力
- 推动产业链供应链优化升级，实施制造业重点产业链高质量发展行动，着力补齐短板、拉长长板、锻造新板，推动传统产业高端化、智能化、绿色化转型。
- 促进中小企业专精特新发展，打造更多有影响力的“中国制造”品牌。
- 促进战略性新兴产业融合集群发展，巩固扩大智能网联、新能源汽车等产业领先优势，制定未来产业发展规划，鼓励发展创业投资、股权投资。
- 深入推进数字经济创新发展，制定支持数字经济高质量发展政策，开展“人工智能+”行动，实施制造业数字化转型行动，大力推动数据开发开放和流通使用。
## 二、深入实施科教兴国战略，强化高质量发展的基础支撑
- 加强高质量教育体系建设，制定实施教育强国建设规划纲要，开展基础教育扩优提质行动，办好特殊教育、继续教育，大力提高职业教育质量，加快建设中国特色世界一流的大学和优势学科。
- 加快推动高水平科技自立自强，充分发挥新型举国体制优势，强化基础研究系统布局，推进关键核心技术协同攻关，加强颠覆性技术和前沿技术研究，强化企业科技创新主体地位，深化科技评价、科技奖励、科研项目和经费管理制度改革。
- 全方位培养用好人才，实施更加积极、更加开放、更加有效的人才政策，加大对青年科技人才支持力度，加快建立以创造价值、能力、贡献为导向的人才评价体系。
## 三、着力扩大国内需求，推动经济实现良性循环
- 促进消费稳定增长，从增加收入、优化供给、减少限制性措施等方面综合施策，培育壮大新型消费，实施数字消费、绿色消费、健康消费促进政策；鼓励和推动消费品以旧换新，提振智能网联新能源汽车、电子产品等大宗消费；推动养老、育幼、家政等服务扩容提质。
- 积极扩大有效投资，发挥好政府投资的带动放大效应，重点支持科技创新、新型基础设施、节能减排降碳、加强民生等经济社会薄弱领域，加快实施“十四五”规划重大工程项目；着力稳定扩大民间投资，在更多领域让民间投资进得来、能发展、有作为。
## 四、坚定不移深化改革，增强发展内生动力
- 激发各类经营主体活力，不断完善落实“两个毫不动摇”的体制机制，深入实施国有企业改革深化提升行动，全面落实促进民营经济发展壮大的意见及配套举措，实施降低物流成本行动，健全防范化解拖欠企业账款长效机制。
- 加快全国统一大市场建设，着力推动产权保护、市场准入、公平竞争、社会信用等方面制度规则统一，专项治理地方保护、市场分割、招商引资不当竞争等突出问题。
- 推进财税、金融等领域改革，谋划新一轮财税体制改革，落实金融体制改革部署，深化社会民生领域改革。
## 五、扩大高水平对外开放，促进互利共赢
- 推动外贸质升量稳，支持企业开拓多元化市场，促进跨境电商等新业态健康发展，拓展中间品贸易、绿色贸易等新增长点，积极扩大优质产品进口，出台服务贸易、数字贸易创新发展政策。
- 加大吸引外资力度，**全面取消制造业领域外资准入限制措施**，放宽电信、医疗等服务业市场准入，落实好外资企业国民待遇，深入实施自贸试验区提升战略。
- 推动高质量共建“一带一路”走深走实，抓好支持高质量共建“一带一路”八项行动落实落地，稳步推进重大项目合作，实施一批“小而美”民生项目，加快建设西部陆海新通道。
- 深化多双边和区域经济合作，与更多国家和地区商签高标准自贸协定和投资协定，全面深入参与世贸组织改革。
## 六、更好统筹发展和安全，有效防范化解重点领域风险
- 稳妥有序处置风险隐患，优化房地产政策，促进房地产市场平稳健康发展；统筹好地方债务风险化解和稳定发展，进一步落实一揽子化债方案；稳妥推进一些地方的中小金融机构风险处置。
- 健全风险防控长效机制，加快构建房地产发展新模式，加大保障性住房建设和供给，完善商品房相关基础性制度，满足居民刚性住房需求和多样化改善性住房需求；建立同高质量发展相适应的政府债务管理机制。
- 加强重点领域安全能力建设，全方位夯实粮食安全根基，强化能源资源安全保障，加快构建大国储备体系，有效维护产业链供应链安全稳定。
## 七、坚持不懈抓好“三农”工作，扎实推进乡村全面振兴
- 学习运用“千村示范、万村整治”工程经验，推动乡村全面振兴不断取得实质性进展、阶段性成果。
- 加强粮食和重要农产品稳产保供，稳定粮食播种面积，健全种粮农民收益保障机制，加大产粮大县支持力度，严守耕地红线，提高高标准农田建设投资补助水平。
- 毫不放松巩固拓展脱贫攻坚成果，加强防止返贫监测帮扶，确保不发生规模性返贫，强化易地搬迁后续帮扶，加大对国家乡村振兴重点帮扶县支持力度。
- 稳步推进农村改革发展，**启动第二轮土地承包到期后再延长30年整省试点**，深入实施乡村建设行动，持续改善农村人居环境，建设宜居宜业和美乡村。
## 八、推动城乡融合和区域协调发展，大力优化经济布局
- 积极推进新型城镇化，把加快农业转移人口市民化摆在突出位置，深化户籍制度改革，完善人地钱挂钩政策，推动未落户常住人口平等享受城镇基本公共服务。
- 提高区域协调发展水平，深入实施西部大开发、东北全面振兴、中部地区加快崛起、东部地区加快推进现代化等战略；支持京津冀、长三角、粤港澳大湾区等地区更好发挥高质量发展动力源作用；持续推进长江经济带高质量发展，推动黄河流域生态保护和高质量发展。
## 九、加强生态文明建设，推进绿色低碳发展
- 深入践行绿水青山就是金山银山的理念，协同推进降碳、减污、扩绿、增长。
- 推动生态环境综合治理，深入实施空气质量持续改善行动计划，统筹水资源、水环境、水生态治理，组织打好“三北”工程三大标志性战役，完善生态产品价值实现机制。
- 大力发展绿色低碳经济，推进产业结构、能源结构、交通运输结构、城乡建设发展绿色转型，推动废弃物循环利用产业发展，加快形成绿色低碳供应链，建设美丽中国先行区。
- 积极稳妥推进碳达峰碳中和，扎实开展碳达峰十大行动，深入推进能源革命，加快建设新型能源体系。
## 十、切实保障和改善民生，加强和创新社会治理
- 多措并举稳就业促增收，突出就业优先导向，预计今年高校毕业生超过**1170万人**，要强化促进青年就业政策；扎实做好退役军人、农民工等群体就业工作；多渠道增加城乡居民收入，扩大中等收入群体规模，努力促进低收入群体增收。
- 提高医疗卫生服务能力，**居民医保人均财政补助标准提高30元**；深化公立医院改革，引导优质医疗资源下沉基层，加强县乡村医疗服务协同联动，促进中医药传承创新，深入开展健康中国行动和爱国卫生运动。
- 加强社会保障，**城乡居民基础养老金月最低标准提高20元**，继续提高退休人员基本养老金；加强城乡社区养老服务网络建设，健全生育支持政策，减轻家庭生育养育教育负担；健全分层分类的社会救助体系。
- 丰富人民群众精神文化生活，深入学习贯彻习近平文化思想，创新实施文化惠民工程，大力发展文化产业，推动全民健身活动广泛开展。
- 维护国家安全和社会稳定，贯彻总体国家安全观，着力夯实安全生产和防灾减灾救灾基层基础，坚决遏制重特大事故发生；完善社会治理体系，坚持和发展新时代“枫桥经验”，推进矛盾纠纷预防化解，依法打击各类违法犯罪活动，建设更高水平的平安中国。
## 十一、政府自身建设及其他重要部署
- 深入推进依法行政，严格遵守宪法法律，自觉接受同级人大及其常委会监督、人民政协民主监督、社会和舆论监督，加强审计监督。
- 纵深推进党风廉政建设和反腐败斗争，政府工作人员要遵法纪、廉洁修身、勤勉尽责，干干净净为人民服务。
- 全面提高行政效率，深入推进政府职能转变，坚决纠正形式主义、官僚主义，持续为基层和企业减负。
- 以铸牢中华民族共同体意识为主线，促进各民族广泛交往交流交融；坚持党的宗教工作基本方针，深入推进我国宗教中国化；加强和改进侨务工作。
- 深入贯彻习近平强军思想，全面加强练兵备战，打好实现建军一百年奋斗目标攻坚战，抓好军队建设“十四五”规划执行，加快实施国防发展重大工程。
- 继续全面准确、坚定不移贯彻“一国两制”、“港人治港”、“澳人治澳”、高度自治的方针，支持香港、澳门发展经济、改善民生，更好融入国家发展大局。
- 坚持贯彻新时代党解决台湾问题的总体方略，坚持一个中国原则和“九二共识”，坚决反对“台独”分裂和外来干涉，推动两岸关系和平发展，深化两岸融合发展。
- 坚持独立自主的和平外交政策，坚定奉行互利共赢的开放战略，落实全球发展倡议、全球安全倡议、全球文明倡议，推动构建人类命运共同体。</t>
  </si>
  <si>
    <t># 杭州医学院医学技术专业硕士点招生宣讲会会议纪要
## 沟通背景与目的
2026年研究生招生季期间，杭州医学院通过B站、微博、抖音等平台开展线上招生宣讲直播。本场直播为杭州医学院检验医学院、生物工程学院专场，由检验医学院、生物工程学院党委书记、副院长宋宝峰副教授担任主讲嘉宾，面向广大考生及家长介绍杭州医学院医学技术专业硕士点的基本情况、学科优势、研究方向、师资力量、培养模式、就业前景及2026年招考计划等内容，并在直播最后环节就考生关心的就业前景、复试环节、初试科目、跨专业报考等问题进行解答。
## 信息同步
### 一、学位点基本情况
- 杭州医学院医学技术专业硕士点于2024年获批，是一个新的学位授权点。
- 该学位点由5个学院共同承担培养工作，其中组建学院为检验医学院、生物工程学院（两院合署办公），共建学院包括医学影像学院、康复学院和信息工程学院。
- 学位点聚焦四个主要专业方向：**检验技术**（细分为医检和卫检两个方向）、**医学影像技术**、**康复治疗**和**智能医学工程**。
### 二、2025年招生情况
- 2025年该学位点录取考生**64人**，其中：检验方向**38人**，卫检方向**11人**，康复方向**13人**，智能医学工程方向**2人**。
### 三、学科建设与科研平台
- 医学技术学科于2023年获批浙江省医学技术省一流学科（B类）。
- 近五年科研成果：
  - 国家级基金项目**19项**
  - 省部级领先项目**1项**
  - 纵向科研经费**1300万元**
  - 横向合作课题经费**2200余万元**
  - 省科技进步一等奖**2项**、二等奖**1项**、三等奖**2项**
  - 国家级一流本科课程**2门**
  - 国家级一流本科专业建设点**2个**
- 省级科研平台建设历程：
  - 2022年：检验诊断关键技术省工程研究中心
  - 2023年：省生物标志物与器官诊断转化重点实验室、康复模块和机器人国际联合实验室、省实验室和安全培训基地、数字化康复装备省工程研究中心、脑认知与疾病数字医疗器械省工程研究中心
  - 2024年：浙江省神经系统疾病数字化装备研发重点实验室
### 四、学科优势
1. **体外诊断领域**：优势显著。疫情期间与企业联合开发新冠病毒核酸检测、抗原检测及抗体检测三个产品，获国家NMPA注册证书。系中华医学会检验医学分会教育学组组长单位、卫生高新技术公司实体开发基地。
2. **医学影像技术方向**：在多参数MRI、肿瘤分子影像学、医学图像处理等方面形成优势方向。拥有国家级一流本科专业建设点、省医学重点学科、省医学创新学科、省临床放射质控中心、国家临床药物验证机构、国家卫健委外周血管介入诊疗培训基地等平台。
3. **康复治疗方向**：依托浙江省人民医院康复医学科，系省内综合医院中建科最早、人才最齐、技术最先进、设备最先进、社会效益最佳的康复医学科之一。
4. **智能医学工程方向**：聚焦阿尔茨海默病智能预警生物标志物（数字生物标志物）研究，处于国际领跑水平。系浙江省三级甲等医院级别浙江省中医药重点学科、老年助浴疾病数字器械医疗器械浙江省中心、智能医学前沿交叉学院。
### 五、主要研究方向及负责人
1. **医学检验技术方向**（负责人：吕建新教授）：聚焦重大疾病新型生物标志物筛选及机制研究、新发突发传染病新型生物标志物筛选及致病机制研究、重大疾病体外诊断检测技术研究、新型药物系统体内治疗难治性疾病研究、神经免疫与再生研究。课题组承担多项国家级和省部级项目，在线粒体氧化磷酸化功能改变与线粒体相关疾病、新冠病毒快速检测试剂等方面取得重大突破，发表高水平论文百余篇。
2. **卫生检验检疫方向**（负责人：金大志研究员）：聚焦新发突发传染病病原体检测检验新技术新方法开发，特别是艰难梭菌致病机制、耐药机制、基因组进化及小分子药物开发；以及卫生检验技术研究。获省科技进步二等奖、三等奖各1项，省医药卫生科技进步一等奖1项、二等奖2项、三等奖1项，发表中科院一区、二区论文85篇，主编专业教材12部，主审7部。
3. **医学影像技术方向**（负责人：徐秀芳教授）：聚焦多参数MRI有效指标、肿瘤分子影像学、神经导航引导的脑肿瘤穿刺技术、脑肿瘤术前功能区定位研究。主持国家自然科学基金3项、省部级项目20余项，获全国优秀教材二等奖1项。
4. **康复治疗方向**（负责人：叶祥明教授，附属人民医院）：聚焦康复技术研发、神经损伤修复与再生研究、运动康复机制与技术创新、意识障碍促醒机制研究、中西医康复治疗神经系统疾病的机制及临床研究。团队获国家级课题23项、省级课题23项，省科技进步三等奖2项，省医药卫生科技进步奖二等奖2项，国家发明专利和实用新型专利77项，发表SCI论文150篇，主编专业书籍多部，主审教材8部，参编书籍40余部。
5. **智能医学工程方向**（负责人：李凯教授）：聚焦脑认知与脑疾病智能诊疗及康复、健康大数据分析与智慧医疗、脑机接口高端数字医疗器械、中医先进医疗器械研发、脑部及精神系统重大疾病（阿尔茨海默病、帕金森病、抑郁症、自闭症等）智能诊断及数字疗法。主持参与国家级项目3项、省部级重点研发计划及200万以上重大横向项目，与中国人民解放军总医院、浙一医院、日本文化研究所等单位开展深入合作。与浙大联合研制的阿尔茨海默病数字预警仪已申报二类医疗器械。
### 六、师资队伍与领军人物
- **总体师资**：专任教师**90人**，高级职称**53人**（占比30%以上），博士**55人**。专业背景涵盖临床检验诊断学、医学检验技术、影像技术、康复治疗学、智能医学工程、生化分子、免疫生物技术、微生物学、细胞生物学等领域。硕士生导师**69人**，其中正高**35人**，博士**46人**。
- **人才称号**：教育部医学技术类专业教学指导委员会委员1人，省万人创新人才2人次，浙江省151人才5人，省杰青1人，省高层次创新人才2人，省卫生创新领军团队1个。
- **学科领军人物**：
  - **吕建新教授**（学位点负责人）：博士，国家百千万人才工程入选者，国家行业特聘专家，省万人计划领军人才，教育部医学技术类专业教学指导委员会委员，国家自然科学基金委医学技术检验学科专家组组长，中华医学会检验学会教育学组组长。主持国家自然科学基金重点项目、科技部重点研发、863计划重点项目、省科技重点研发及应急攻关项目等十余项，发表高水平论文200余篇，获省科技奖一等奖3项，优秀教学成果奖2项。
  - **徐秀芳教授**：博士，浙江省151人才第三层次，省高校中青年学科带头人，现任研究生院院长兼医学影像学院院长，国家一流本科专业建设点（医学影像技术）负责人，教育部教指委相关医学分会委员，中华医学会影像技术分会委员。主持国家自然科学基金及省部级科研项目，近三年以通讯作者或第一作者发表多篇高水平论文。
  - **叶祥明教授**：浙江省人民医院主任医师，二级教授，博导、博士后导师，省康复医学中心主任，康复学院院长，省卫生领军人才，国家区域医疗中心浙江省重点培育专科康复医学学科带头人，数字化康复装备省工程研究中心常务副主任。主持国家级课题3项、省重大课题2项，发表SCI论文98篇。
  - **金大志研究员**：博士、硕导，美国华盛顿大学博士后，美国MSCC访问学者，省创新人才、151人才、卫生创新人才，省首届优秀医疗工作者，现任检验医学院学术院长，省生物标志物与器官诊断转化重点实验室主任，中国医师协会临床微生物分会常务委员。主持国家自然科学基金面上项目、863子项、科技部重大专项子课题、省重点研发计划、省自然基金重点项目及省部共建重大项目共25项，发表SCI论文50余篇，参编专著6部，获省科技进步二等奖1项、三等奖1项。
  - **李凯教授**：信息工程学院院长，复旦大学公共卫生学院博士，早稻田大学访问学者，智能医学前沿交叉学科研究院执行院长，智能医学工程学科负责人，浙江省中医药重点学科带头人。主持参与国家级、省部级项目，研制全生命周期中医治疗及康复医疗体系设备3台/套。
### 七、硕士培养与毕业去向
- **培养目标**：面向健康中国发展需要，紧密服务区域行业产业发展，围绕国际学术前沿、国际重大需求和转化研究，培养熟练掌握医学技术领域专业知识技能、具有良好创新实践能力的高层次应用型人才。
- **培养方式**：教学、专业实践与学位论文相结合。全日制专业学位学制**3年**，最长不超过**5年**。
- **学分要求**：毕业前学业课程不少于**24学分**，其中专业必修课（分方向）≥**12学分**，专业选修课（如智慧医疗、中医康复治疗学、生物信息学等）≥**6学分**。
- **培养环节**：第二学期进行开题，第三、第四学期（研二）完成过程性考核，毕业前进行学位论文答辩。
- **就业方向**：
  - **医疗机构**：检验方向可进入检验科、输血科、病理科；影像技术方向可进入放射科、核医学科、超声科；康复治疗方向可进入康复医学科、骨科、神经科、运动医学科等；卫检方向可进入疾病预防控制中心（CDC），参与传染病防控、慢性病防治等公共卫生工作。
  - **企业领域**：医药企业与生物技术公司（研发、生产、市场销售、质量管理与法规事务）、医疗器械公司（研发、销售、技术支持）、保险公司（医疗保险核保理赔、健康险产品开发）。
  - **公务员/事业单位**：药监局、卫健委、海关等部门，从事医疗器械监管、卫生政策制定及口岸卫生检疫等工作。
  - **继续深造**：可到高校、研究所攻读博士或从事研究工作。
### 八、2026年招考计划
- 2026年计划招生**34人**（仅供参考，以教育部正式下达人数为准）。
- **初试科目**：思想政治理论、英语（全国统考）+ 专业课（学校自主命题）。专业课按方向设置：检验技术考检验综合，医学影像技术考医学影像技术综合，康复治疗考康复治疗综合，智能医学工程考智能医学工程综合。
- **检验综合考试内容**：分子生物学检验（占40%）、生物化学检验（占30%）、微生物学检验（占30%）。总分**300分**，考试时长**180分钟**。
- **复试安排**：以线下为主，初试成绩占**60%**，复试成绩占**40%**。复试内容分为三部分：英语能力测试占**20%**，专业能力测试占**40%**，综合能力测试占**40%**。导师与学生的匹配采取双向选择制。
- **信息获取渠道**：杭州医学院研究生招生网（研究生招生.杭州医学院.edu.cn）、杭州医学院研究生教育微信公众号。
### 九、考生关注问题解答
1. **就业前景**：虽然该学位点2025年才开始招生，尚无毕业生，但就业出口广泛，涵盖三甲医院、疾控中心、医药企业、医疗器械公司、保险公司、药监局、卫健委、海关、高校及研究所等，就业面宽、竞争力强，对未来就业充满信心。
2. **复试环节**：主要包括专业能力测试、综合能力测试和英语能力测试三个环节，具体形式和内容以学校复试录取办法为准，可参考2025年复试办法。
3. **初试备考**：英语考试难度介于四级和六级之间，建议以研究生考试英语真题为参照进行复习；思想政治理论需与时俱进系统学习；专业课应聚焦学校公布的考试大纲和参考教材。
4. **跨专业报考**：学校鼓励跨学科、跨专业考生报考医学技术专业，允许本科非本专业的考生跨专业自主报考，被录取概率将大大提高。
5. **校区与交通**：学校有三个校区（含滨江校区、主城区校区等），主校区位于杭州市主城区，交通便利。
6. **学科竞赛**：学校重视研究生参与学科竞赛，设有专门的讲座和培训体系，近年来研究生在各类竞赛中取得优异成绩，以赛促学、以赛促教、以赛促改。
## 达成共识
- 杭州医学院医学技术专业硕士点学科实力较强，在体外诊断、医学影像技术、康复治疗、智能医学工程四个方向均具有显著优势，欢迎广大考生报考。
- 2026年招生计划人数以教育部正式下达为准，考生应持续关注杭州医学院研究生招生网及研究生教育微信公众号获取最新信息。
- 学校鼓励跨专业考生报考医学技术专业硕士点，跨专业报考是被允许的。
- 学校承诺为研究生提供竞赛参与机会，设有专门的讲座和培训体系支持学生发展。
## 待协调事项
- 2026年最终招生人数需等待教育部正式下达文件确认，考生应以官方公布信息为准。
- 复试具体形式和内容以学校届时发布的复试录取办法为准，目前可参考2025年复试办法进行准备。
- 直播回放将在直播结束后24小时内上传至B站，供未能实时观看的考生随时查看。</t>
  </si>
  <si>
    <t># 课程概况
本节课为历史小论文写作指导课，教师围绕历史小论文的写作方法、常见题型及解题策略展开系统讲解。课程首先强调了小论文写作的核心要求——**观点必须明确**，随后通过多个典型例题（武汉长江大桥、梁启超观点评析、历代民德变化图表等）逐一分析了自命题类、观点评析类、图表信息类等不同题型的解题步骤与答题技巧，并对学生的现场作答进行了点评与指导。
---
# 核心知识点梳理
## 一、小论文写作的基本结构要求
1. **观点明确**：必须亮出自己的观点，不能只是简单陈述或罗列名词，观点需要具有凝聚力。
2. **论证充分**：一般写**两到三条**论据即可，不宜太少（无法支撑论点），也不宜过多。
3. **逻辑清晰**：可采用序号分条列出，也可直接列条呈现，但必须让阅卷老师清楚看到写了哪几条。可按**时间脉络**（如先秦、秦汉、明清时期）或**空间维度**（如国内/国外、内因/外因）组织。
4. **结论升华**：最后的论述要简洁，作用是**升华观点**，不能简单重复抄写前面的观点。
## 二、解题步骤与方法
1. **审题**：仔细阅读题目要求，注意"小红帽"（题目中的限定性要求）及评分标准。例如：题目要求用世界史知识作答，就不能用中国史内容。
2. **读材料**：先大概浏览，抓主要信息，再细看材料之间的关系。
3. **列提纲**：先在草稿纸上拟好题目，罗列要使用的事实论据，确保与材料相关，避免直接写在答题卡上导致涂改混乱。
4. **行文**：先写背景/学术报告引入，再亮出观点，接着分条论证，最后进行总结升华。
## 三、常见题型分析
### 1. 自命题类 ⭐
- 题目给出材料，要求学生自行提炼观点并命题。
- 关键：观点必须与材料紧密关联，不能脱离材料自说自话。
- 例：武汉长江大桥材料，可写新中国成立后的建设成就，也可写改革开放以来的发展，但需注意时间顺序（先对内改革，再对外开放）。
### 2. 观点评析类 ⭐
- 给出他人观点，要求学生评析或提出自己的看法。
- 关键：**不能照抄材料观点**，必须形成自己的判断。例如：评析梁启超的观点时，需结合具体史实（如唐朝国力强盛、宋朝民德繁盛等）进行论证，并说明"为什么在这个时期写这些东西"（时代背景）。
- 注意区分："提出自己的看法"与"评析材料观点"是两种不同的要求。
### 3. 图表信息类 ⭐
- 包括表格、地图、图片等，需关注**题头、横向/纵向信息**，注意信息之间的**关系与变化**。
- 例：历代民德变化图表，可选取春秋、东汉、宋明等时期，结合时代背景（如儒家思想影响、社会状态）分析民德水平高低的原因。
- 例：关于"关"与"税"的图表题，需提取有效信息，分析两者之间的关系。
## 四、典型例题要点
1. **武汉长江大桥题**：可写新中国成立初期成就或改革开放成就，注意按时间顺序组织（先对内改革，再对外开放）。
2. **梁启超观点评析题**（1940年）：材料包含四个观点——国民应略知本国历史、对本国历史应有温情与敬意、有历史知识不会偏激、国家才能继续发展。答题需结合时代背景（抗战时期），选取两个观点进行评析，并得出自己的结论。
3. **历代民德变化图**：可分析不同时期民德水平与政治制度、社会状态、思想文化（如儒家思想）的关系。
---
# 课堂互动与答疑
**问 → 答**
- **问**：学生展示武汉长江大桥小论文，教师点评其问题。
  **答**：教师指出该生审题不够仔细，未充分结合材料中的关键信息；写作顺序应先写对内改革，再写对外开放，按时间顺序排列。
- **问**：学生分析梁启超观点材料，选择第二个观点（对本国历史应有温情与敬意）进行评析。
  **答**：教师肯定其选择，同时追问"为什么在1940年写这些东西"，引导学生关注时代背景——抗战时期，文人希望通过历史教育增强民族凝聚力，避免偏激的民族主义。
- **问**：学生讨论历代民德变化图表，有学生选择东汉、宋朝等时期。
  **答**：教师引导思考各时期民德水平与时代背景的关系，如宋朝民德繁盛的原因、明末清初民德变化与社会状态的关系，并提醒可结合儒家思想的影响进行分析。
&gt; 教师提醒："你不能简单的去把你的观点抄一遍，要升华你的观点。"
&gt; 教师强调："审题要看要求，看这个要求里面有时候会有个小红帽，小红帽的要求很重要，以及它的评分标准。"
---
# 课后任务与学习建议
1. **复习重点**：掌握小论文写作的"观点明确→论证充分（两三条）→逻辑清晰→结论升华"的基本框架。
2. **题型训练**：针对自命题类、观点评析类、图表信息类三种题型分别进行练习，注意审题要求（如"用世界史知识""评析材料观点"等限定条件）。
3. **写作习惯**：先在草稿纸上拟题目、列事实论据，再誊写到答题卡上，避免涂改。
4. **答题细节**：注意时间顺序的排列（如先对内改革再对外开放），注意结合时代背景分析历史现象，避免照抄材料观点。</t>
  </si>
  <si>
    <t># 报告概况
2025年3月5日，第十四届全国人民代表大会第三次会议在北京开幕，出席代表2880人，符合法定人数。国务院总理李强代表国务院向大会作《政府工作报告》。报告全面回顾2024年工作成绩，深入分析当前面临的困难和挑战，明确提出2025年经济社会发展总体要求、主要预期目标及政府工作任务。报告整体基调为稳中求进、迎难而上、奋发有为，强调在以习近平同志为核心的党中央坚强领导下，高质量完成"十四五"规划目标任务，为实现"十五五"良好开局打牢基础。
# 核心政策
## 2024年工作回顾（主要成绩）
- **国内生产总值达到134.9万亿元，增长5%**
- **城镇新增就业1256万人**，城镇调查失业率平均为5.1%
- **居民消费价格上涨0.2%**，国际收支基本平衡，对外贸易规模创历史新高，外汇储备超过3.2万亿美元
- **居民人均可支配收入增长5.1%**
- **粮食产量首次跃上1.4万亿斤新台阶**
- **新能源汽车年产量突破1300万辆**
- 嫦娥六号实现人类首次月球背面采样返回，"梦想号"大洋钻探船建成
- 地级及以上城市细颗粒物平均浓度下降2.7%，单位国内生产总值能耗降幅超过3%
- 制造业领域外资准入限制措施全面取消
- 两次下调存款准备金率和政策利率
- **一次性增加6万亿元地方专项债务限额**，置换存量隐性债务
- 对所有同中国建交的最不发达国家产品全面给予零关税待遇
- 数字经济核心产业增加值占国内生产总值比重达到10%左右
- **常住人口城镇化率提高到67%**
- 国家奖助学金提标、助学贷款提额降息，惠及学生3400多万人次
- 向困难群众发放一次性生活补贴，惠及1100多万人
- 非化石能源发电量占总发电量的比重接近40%
- 提请全国人大常委会审议法律议案19件，制定、修订行政法规28部
- 我国体育健儿在巴黎奥运会取得境外参赛最好成绩
## 2025年主要预期目标
- **国内生产总值增长5%左右**
- **城镇调查失业率5.5%左右**
- **城镇新增就业1200万人以上**
- **居民消费价格涨幅2%左右**
- 居民收入增长和经济增长同步，国际收支保持基本平衡
- **粮食产量1.4万亿斤左右**
- **单位国内生产总值能耗降低3%左右**
## 2025年宏观政策取向
- **财政政策**：赤字率拟按4%左右安排，赤字规模5.66万亿元；拟发行超长期特别国债1.3万亿元；拟发行特别国债5000亿元支持国有大型商业银行补充资本；安排地方政府专项债券4.4万亿元；**今年合计新增政府债务总规模11.86万亿元**，比上一年增加2.9万亿元
- **货币政策**：实施适度宽松的货币政策，适时降准降息，保持流动性充裕
- 安排超长期特别国债3000亿元支持消费品以旧换新
- 中央预算内投资已安排7350亿元
# 重点工作
## 一、大力提振消费、提高投资效益，全方位扩大国内需求
实施提振消费专项行动，制定提升消费能力、增加优质供给、改善消费环境专项措施，多渠道促进居民增收。扩大健康、养老、托幼、家政等多元化服务供给，加快数字、绿色、智能等新型消费发展，释放文化、旅游、体育等消费潜力。发挥好各类政府投资工具作用，加快实施一批重点项目，坚决防止低效无效投资。优化地方政府专项债券管理机制，支持和鼓励民间投资发展。
## 二、因地制宜发展新质生产力，加快建设现代化产业体系
培育壮大新兴产业、未来产业，深入推进战略性新兴产业融合集群发展，开展新技术、新产品、新场景大规模应用示范行动。培育生物制造、量子科技、具身智能、6G等未来产业。推动传统产业改造升级，深入实施制造业重大技术改造升级和大规模设备更新工程。持续推进"人工智能+"行动，大力发展智能网联新能源汽车、人工智能手机和电脑、智能机器人等新一代智能终端，扩大5G规模化应用，优化全国算力资源布局。
## 三、深入实施科教兴国战略，提升国家创新体系整体效能
制定实施教育强国建设三年行动计划，加强义务教育学校标准化建设，扩大高中阶段教育学位供给，逐步推行免费学前教育。推进高水平科技自立自强，优化国家战略科技力量布局，加强企业主导的产学研深度融合。加快建设国家战略人才力量，大力支持和大胆使用青年科技人才，深化人才分类评价改革。
## 四、推动标志性改革举措加快落地，激发各类经营主体活力
高质量完成国有企业改革深化提升行动，扎实落实促进民营经济发展的政策措施，加力推进清理拖欠企业账款工作，开展规范涉企执法专项行动。纵深推进全国统一大市场建设，综合整治"内卷式"竞争，修订出台新版市场准入负面清单。深化财税金融体制改革，开展中央部门零基预算改革试点，深化资本市场投融资综合改革，大力推动中长期资金入市。
## 五、扩大高水平对外开放，积极稳外贸、稳外资
稳定对外贸易发展，扩大出口信用保险承保规模和覆盖面，促进跨境电商发展，加强海外仓建设。大力鼓励外商投资，扩大电信、医疗、教育等领域开放试点。推动高质量共建"一带一路"走深走实，统筹推进重大标志性工程和"小而美"民生项目建设。持续扩大面向全球的高标准自由贸易区网络，坚定维护以世界贸易组织为核心的多边贸易机制。
## 六、有效防范化解重点领域风险，牢牢守住不发生系统性风险底线
持续用力推动房地产市场止跌回稳，合理控制新增房地产用地供应，盘活存量用地和商办用房，推进收购存量商品房，有效防范房企债务违约风险，加快构建房地产发展新模式。稳妥化解地方政府债务风险，完善和落实一揽子化债方案，坚决遏制违规举债行为。积极防范金融领域风险，一体推进地方中小金融机构风险处置和转型发展，健全金融监管体系。
## 七、着力抓好"三农"工作，深入推进乡村全面振兴
稳定粮食播种面积，主攻单产和品质提升，严守耕地红线，高质量推进高标准农田建设，深入实施种业振兴行动。毫不松懈巩固拓展脱贫攻坚成果，确保不发生规模性返贫致贫。有序推进第二轮土地承包到期后再延长30年试点，拓宽农民增收渠道，建设宜居宜业和美乡村。
## 八、推进新型城镇化和区域协调发展
科学有序推进农业转移人口市民化，全面推进常住地提供基本公共服务，强化随迁子女义务教育保障，推动将符合条件的农业转移人口纳入住房保障体系。持续推进城市更新和城镇老旧小区改造。支持经济大省挑大梁，深化东中西东北地区产业协作。
## 九、协同推进降碳、减污、扩绿、增长，加快经济社会发展全面绿色转型
持续深入推进蓝天碧水净土保卫战，全面推进以国家公园为主体的自然保护地体系建设。深入实施绿色低碳先进技术示范工程，培育绿色建筑等新增长点。积极稳妥推进碳达峰碳中和，建立一批零碳园区、零碳工厂，建立产品碳足迹管理体系、碳标识认证制度，加快建设"沙戈荒"新能源基地。
## 十、加大保障和改善民生力度，提升社会治理效能
**更大力度稳定和扩大就业**：实施重点领域、重点行业、城乡基层和中小微企业就业支持计划，拓宽高校毕业生等青年就业创业渠道，加强灵活就业和新就业形态劳动者权益保障。
**强化基本医疗卫生服务**：深化以公益性为导向的公立医院改革，优化药品集采政策，健全药品价格形成机制，支持创新药发展，严格医保基金监管。
**完善社会保障和服务政策**：**城乡居民基础养老金最低标准再提高20元**，适当提高退休人员基本养老金，推进社区支持的居家养老，强化失能老年人照护。制定促进生育政策，发放育儿补贴，大力发展托幼一体服务。
**维护国家安全和社会稳定**：深入实施安全生产治本攻坚三年行动，抓好校园学生餐饮、平台外卖安全监管，建设更高水平的平安中国。
## 其他重要部署
- 今年将开展"十五五"规划编制工作，科学确定发展目标，谋划好重大战略任务、重大政策举措、重大工程项目
- 加强法治政府建设，自觉接受同级人大及其常委会监督、人民政协民主监督、社会和舆论监督
- 深入贯彻习近平强军思想，全力打好实现建军一百年奋斗目标攻坚战
- 坚定不移贯彻"一国两制"方针，支持香港、澳门发展经济、改善民生
- 坚持贯彻新时代党解决台湾问题的总体方略，坚持一个中国原则和"九二共识"，坚决反对"台独"分裂和外部势力干涉
- 坚持独立自主的和平外交政策，推动落实全球发展倡议、全球安全倡议、全球文明倡议，推动构建人类命运共同体</t>
  </si>
  <si>
    <t># 全文摘要
本次会议为景城苑小区物业招标答辩会，共有四家物业公司参与竞标。会议前半程由长沙富佳物业管理有限公司代表回答业委会提出的五个问题，涉及小区改造计划、车辆管理、物业交接、安防系统升级及业主满意度提升等方面。后半程由深圳市资平物业发展有限公司（即"知名管理"）代表进行陈述并回答评委提问，该公司从公司背景、管理理念、改造计划、包干制经验、承接查验安排、安防停车管理及楼道杂物处理等方面进行了详细阐述。最终评标结果显示，深圳市资平物业发展有限公司以第一名中标候选人身份胜出，长沙富佳物业管理有限公司以72.91分位列第二，湖南恒居基居业物业管理有限公司以60.73分位列第三，重庆新东源物业管理有限公司以54.48分位列第四。
## 一、长沙富佳物业管理有限公司答辩环节
- **小区改造计划**：富佳物业表示具体改造项目已在标书第117页详细说明，共涉及12大改造点，预计在一年内完成全部改造项目。
- **车辆乱停问题应对**：富佳物业提出需先分析车辆乱停原因（停车位不足或业主不自觉），针对不同原因采取相应措施——若停车位不够则增加停车位，若业主不自觉则安排保安和客服人员进行现场说服、劝阻和纠正。
- **物业交接安排**：富佳物业称其在二手小区接管方面经验丰富。具体安排为：提前两周安排项目负责人入场摸底，提前一周将服务人员安排到位并进行培训。若交接不顺畅，先与原物业私下沟通了解诉求，公司间无法解决时，拜托业委会或街道社区组织协调会，仍无法解决则在获得业委会及街道社区许可下采取强制措施。
- **安防及停车管理方案**：富佳物业提出五项措施：一是在大门口增设人行门禁系统（支持手机微信、刷卡、密码进出）；二是升级大堂报到系统，录入业主车辆信息统一管理，临时车辆由安保人员登记后放行；三是地面增设隔离墩，禁止公共场所停车，保障消防通道和人行通道畅通；四是建设外围停车场并安装停车管理系统；五是增设电动车停车场，解决电动车乱停乱放问题。
- **业主满意度与收费率措施**：富佳物业提出"用心倾听、如实记录、马上处理、及时反馈"十六字方针，要求对业主反馈和投诉及时处理并反馈完成情况，让业主心中有数。
## 二、深圳市资平物业发展有限公司陈述及答辩环节
- **公司背景介绍**：资平物业成立于2004年，总部位于深圳，是中国全市场化物业公司，无开发背景。目前在全国管理367个项目，其中127个为业委会项目。公司创始人陈志平先生为万科物业创始人之一，曾协同建立中国第一个业委会。公司为中国物业管理协会副会长单位、全国百强企业。
- **管理理念**：资平物业提出"让一线权利归还业主"的理念，确保所有在管业务项目财务透明，包干制项目每季度向全体业主公示物业管理费和停车费等财务状况；管理透明，邀请业主代表参与小区公共事务管理。
- **人员配置与团队建设**：经现场勘察，景城苑项目人员编制为16人，保证薪酬福利高于同类及周边项目，所有一线人员直招不外包。
- **四步改造计划**：第一步"洗理静音"——进场第一个月调动湖南战队其他项目人员资源，对小区环境、绿化、清洁及杂物进行全面清扫，保证感官上干净整洁有序；第二步"疏金活选"——调动集团设备公司水电、给排水、电梯、消防等工程师资源，对小区所有设备设施全面排查诊断，合理范围内进行集中改造；第三步"疑难杂症"——针对消防、渗水等重大问题，检查后提供意见，通过业委会授权或召开业主大会进行招投标，计划八个月内完成设备设施及现场整改；第四步"有效提升"——将公司管理标准和前沿管理经验延续至本项目。
- **特色管理系统**：资平物业将导入顾客管理系统，集中处理业主投诉、咨询、报事，设有专线电话，确保报事有人处理、有人回访、有人跟进。通过大数据分析业主投诉热点（如10月份业主对保安门岗管控的投诉），指导下月工作重点。同时针对小区老龄化开展适老活动，如教老年人使用抖音，组织社区社团活动，公司硬性规定每两个月开展一次社区文化活动。
- **包干制经验**：资平物业在湖南有11个项目，其中仅1个为酬金制，其余10个为包干制。公司强调无论何种模式，核心是财务透明、管理透明，保障业主知情权，加强与业委会和业主的沟通互动，让业主参与物业管理。团队方面，30%管理干部从现有团队选拔，60%左右从现有物业优秀员工中保留或重新招聘。
- **公益性服务**：资平物业在长沙开展居家上门服务，员工上门免费，材料费由业主自购或公司代购；提供家政服务及24小时业主护送服务，包含有偿和无偿业务。
- **承接查验安排**：资平物业强调前期准备工作，包括与社区街道、派出所沟通，与现有物业及业委会明确设备设施和债务债权。承接查验按专业线分组，调动集团工程师资源协助项目查出问题，避免遗留隐患。前期验收期间，在16人团队基础上增派150%人员，确保交接和查验工作顺利完成。
- **安防及停车管理方案**：资平物业提出关键岗位（门岗、门勤岗、车务）由老员工担任，确保责任心和担当意识，对外来人员和车辆进行登记核实后放行。停车管理方面，首先收集业主车辆信息，制定小区整体停车管理方案（包括禁区停放），升级道闸系统识别外来车辆和业主亲友来访车辆，形成小区停车管理制度和公约。监控方面，通过自身设备公司从技术层面解决关键部位监控问题。
- **楼道及顶层杂物处理**：资平物业提出"疏而非强制"的处理原则。具体措施包括：通过上门宣传和法律知识普及，让业主认识到楼道堆放杂物的风险及法律责任；与社区应急管理部门联合行动；提前与业主充分沟通，给予处理杂物的时间期限；在闲置区域设置临时堆放点并限期解决。针对晾晒问题，建议在小区寻找合适位置设置集中晾晒区，甚至可提供增值服务——天气好时物业工作人员上门取被子晾晒，晚上送回。
## 三、评标结果
- 本次评标采用去掉一个最高分和一个最低分的方式计算最终得分，打分环节全程保密，暂停网络直播，录像材料不予公开。
- **最终得分及排名**：第一名深圳市资平物业发展有限公司（中标候选人）；第二名长沙富佳物业管理有限公司，72.91分；第三名湖南恒居基居业物业管理有限公司，60.73分；第四名重庆新东源物业管理有限公司，54.48分。
- 深圳市资平物业发展有限公司确认为中标候选人，本次招标活动圆满结束。</t>
  </si>
  <si>
    <t># 讲座概况
本次讲座聚焦康熙朝文渊阁大学士陈廷敬的一生，主讲人李正通过“妈妈张氏的开蒙”“圣祖康熙的讲师”“至公无私的落幕”三个阶段，系统梳理了陈廷敬从出生到病逝的人生轨迹。讲座澄清了影视剧中陈廷敬参与撤藩、招抚台湾、征剿噶尔丹等虚构情节，指出其真实历史贡献在于以清正廉洁、恪守初心的品格赢得康熙终身的信任与尊重。讲座以陈廷敬的成长经历、仕途起伏、张谦案风波等关键事件为线索，展现了一位传统士大夫“苟正其身矣，于从政乎何有”的为官之道。
# 核心观点与论证
## 一、影视剧形象与历史真实的差异
主讲人开篇指出，在《康熙王朝》等影视剧中，陈廷敬被塑造成既支持撤藩、又毛遂自荐招抚台湾、甚至征剿噶尔丹时全力维护后勤粮草的形象。但主讲人明确说明：**以上这些事，历史上的陈廷敬都没有做过**。然而这并不代表陈廷敬不重要——康熙在陈廷敬临终前仍询问：“朕日望大学士病体速愈，在佐朕料理机务几年。若事出意外，大臣中学问人品如大学士可代理内廷事务者为谁？”可见其在康熙心中的分量。
## 二、第一阶段：妈妈张氏的开蒙（1638年—约1661年）
### 家庭背景与早期教育
- 陈廷敬本名陈敬，字子端，号午亭，1638年（崇祯十一年）出生于山西泽州府阳城县，家中往上数六代均为读书人，多在朝廷为官
- 父亲陈长七虽为管理家业未走仕途，但也是读书人，后来入选顺治朝国子监，史载“陈文征公考选拔贡生，好善乐义”
- 与纪晓岚、刘统勋等由父亲启蒙不同，陈廷敬的童年教育由母亲张氏负责
### 母亲张氏的独特教育方式
- 张氏从小跟随父亲张弘毅认真读书，系统学习儒家经典及《资治通鉴》，陈廷敬形容“太夫人少儿颖慧特异”
- 张氏嫁给陈廷敬父亲后仍坚持每日读书背诵，甚至半夜不睡，史载“太夫人于家政稍暇即出书籍，平几装诵，非秉夜不归寝，经商好学者亦无以加也”
- 陈廷敬6岁外出上学前，母亲已教他背完《论语》《孟子》《大学》《中庸》及《诗经》，史载“平静尚未就外传，凡四子书毛诗皆太夫人口授以诵”
- 张氏善于鼓励孩子：陈廷敬9岁作《咏牡丹》诗，其中“要使误接春”一句被母亲盛赞为天才之作
### 科举之路的辉煌起步
- 顺治八年（1651年），陈廷敬14岁，赴试潞安府，以童子第一入州学，即以全省第一的成绩考中秀才
- 20岁中举人，21岁中进士，同年入选翰林院任庶吉士
- 主讲人对比指出：天才如李光地，21岁时连秀才还没考上，而陈廷敬21岁已入翰林
### 改名风波
- 陈廷敬入翰林时本名仍为陈敬，同届还有一位直隶通州籍的学子也叫陈敬
- 顺治十五年四月，两人同被选为庶吉士
- 直隶陈敬因满文学习不及格被顺治点名批评并罚俸一年，但因顺治未带籍贯，翰林院风言风语牵连到山西陈敬
- 陈廷敬主动上书奏请更名“廷敬”，据李光地记载，“廷”字为顺治所赐
- 改名后坏事变好事，既与直隶陈敬撇清关系，又因御赐之名与顺治拉近关系。顺治与陈廷敬同为崇祯十一年出生，同年同岁，顺治颇为欣赏陈廷敬
### 仕途初期的波折
- 顺治十八年，庶吉士毕业考试，24岁的陈廷敬考取同届第一，获授秘书院检讨
- 同年年初顺治因天花驾崩；康熙元年，母亲张氏病倒
- 陈廷敬在仕途起步关键期请假归乡，史载“泽州陈文贞公，性至孝，时登极，闻太夫人病，即归省”
- 母亲病愈，但陈廷敬请假长达三年，在积累工作经验的关键时期出现履历空白
## 三、第二阶段：圣祖康熙的讲师（约1667年—1681年）
### 重返官场与国子监整顿
- 康熙六年（1667年），陈廷敬考察一等称职
- 康熙八年，32岁的陈廷敬升任正六品国子监司业，到国家最高学府任副校长。主讲人指出，15年前其父陈长七还只是国子监的学生，如今陈廷敬已是国子监副校长，是对父辈的巨大超越
- 陈廷敬到国子监即整顿陋规：当时国子监有不成立规定，学生拜见校长和老师须带见面礼。陈廷敬坚决不收，史载“凡诸生以至献者悉摒弃之”，学生越送礼越不见，只有不送礼才愿意见
- 此举获康熙认可，两年之内连升三级，34岁官居从四品翰林院侍讲学士
### 担任日讲官与经筵讲师
- 康熙十一年十月，35岁的陈廷敬被19岁的康熙亲自召到身边担任日讲官，充日讲起居注官
- 主讲人指出，康熙对陈廷敬或有特殊情感——此人年纪与父亲顺治同年所生，名字也是顺治亲口所赐
- 陈廷敬在日讲官位置与康熙朝夕相处4年，康熙先后将其拔擢为詹事府詹事与从二品内阁学士
- 康熙十五年九月，39岁的陈廷敬被正式拜为经筵讲官
- 陈廷敬教学风格外放，讲评经史特别狠辣，“对就夸、错就骂，从不含糊其辞”。主讲人举例：陈廷敬曾指着史书上的孙权破口大骂，认为吴蜀唇齿相依，孙权背刺关羽“简直就是猪是狗”
### 母亲去世与康熙破例
- 康熙十六年正月，陈廷敬出任翰林院掌院学士，同时给当届庶吉士授课
- 同年母亲张氏病逝，终年59岁
- 康熙召集大臣表态：满汉一体，汉臣家有丧事朝廷也必须派人祭奠，命大学士明珠、翰林院掌院学士喇沙里等携茶酒往祭
- 礼部提出反对：陈廷敬母亲的封号是按詹事府詹事（三品）授予的，按规定无资格得到官方祭奠
- 康熙表态：“以平敬侍讲握权而恩弗逮，吾何以劝劳臣乎？”——好的大臣必须给予高的尊重
- 最终康熙下令追封陈廷敬母亲，按学士品级由官方派人祭奠
## 四、第三阶段：至公无私的落幕（1684年—1711年）
### 左都御史任上的整顿
- 康熙二十三年，47岁的陈廷敬升任从一品左都御史，位列中央九卿，开始监察外官
- 当时背景：从康熙十二年三藩之乱到康熙二十二年统一台湾，清政府连打十年仗，为筹集军费开放捐纳，不少人花钱买官，陈廷敬上任时仍有许多人在吏部排队等分配岗位
- 陈廷敬上奏：捐纳买官者正式上岗时必须追加考试，考不上就别上岗。原话为“自古未有不晓文艺之人可以为民父母者也……文艺略可者给予录用，否则且令肄业听其再试”
- 吏部反对，称以前补用人员从未考试。但康熙支持陈廷敬，并补充要求各地督抚将已任命官员也详查一遍，凡文化水平不过关者全部罢免
- 此后陈廷敬针对各省督抚作风问题、地方政府赈灾懒政问题严查弹劾，一边指出问题一边给出解决方案，亲自拟定新的赈灾报批流程
- 随后两年，陈廷敬连续出任工部、户部、吏部三部尚书，“他人到哪里就整顿到哪里”
- 有人劝他官场应和光同尘，陈廷敬回应：“我贤与虽折且怨，庸何伤”——只要人是对的、事是好的，遭受一点挫折和埋怨也无所谓
### 张谦案风波
- 康熙二十六年，陈廷敬50岁时，湖广巡抚张谦因贪污被抓。张谦既是陈廷敬老乡，又是其亲家（其子是陈廷敬的二女婿）
- 张谦口供称曾出钱贿赂陈廷敬，还拿出证据——徐乾学、高士奇和陈廷敬三人都曾给他写信劝他好好当官，张谦称这些信是索贿的暗示和威胁
- 陈廷敬辩称从未收钱，因张谦是亲戚所以尤其注意保持距离，张谦是因自己对他过于疏远而产生怨恨，恶意攀咬
- 康熙传旨主审官马齐：此案只处理张谦一人，不得扩大株连，其他人一律事后密查
- 51岁的陈廷敬主动上书奏请辞官以证清白，康熙准许其辞官，但留他在京继续修书
- 张谦案真相至今无公开定论。主讲人给出陈廷敬无辜的三点理由：
  1. 据李光地记载，陈廷敬后来吐槽整个张谦案从索贿到举报都是徐乾学一手策划
  2. 徐乾学贪污事迹多且热衷结党，有作案动机
  3. 张谦案涉及的另两位近臣徐乾学、高士奇后来都因贪污被罢官，唯独陈廷敬仅辞官一年就被康熙重新启用，且再次出任左都御史——康熙若没有100%把握陈廷敬是干净的，不可能让其出任全国最高监察长官
### 晚年与身后哀荣
- 康熙二十九年，53岁的陈廷敬复出，重任左都御史
- 此后历任一年刑部尚书、六年户部尚书、四年吏部尚书
- 康熙四十二年，66岁的陈廷敬升任文渊阁大学士，同时总理南书房事务，位高权重
- 康熙四十六年起，70岁的陈廷敬开始逐年申请退休，但康熙始终以“机务重地，良难其人”为由拒绝。70岁、71岁、72岁连续三次申请均被拒
- 主讲人指出：陈廷敬是内阁中唯一既管南书房又当经筵讲师定期给康熙上课的大学士，康熙或许也是看着陈廷敬便想起自己年轻时的样子
- 康熙四十九年，73岁的陈廷敬第四次申请退休，终获批准。康熙亲赐匾额“午亭山村”及楹联“春归乔木浓阴茂，秋到黄花晚节香”，并说“朕特殊匾联赐卿，自此不与人写字矣”
- 两年后陈廷敬病逝，终年75岁，谥号“文贞”，史称陈文贞公
- 康熙包办所有治丧费用，从大内找紫砂碗为其做棺材，下令各部院满汉大臣均往吊祭，并命皇三子允祉及大臣侍卫等往奠茶酒
## 总结
主讲人总结道：陈廷敬一生虽无平三藩、收台湾、剿灭噶尔丹等大事件，但21岁入官场、75岁离世，宦海浮沉50余年依然声名清白、恪守初心，这本身就是了不起的成就。主讲人以《论语》“苟正其身矣，于从政乎何有”作结，指出陈廷敬的可贵之处在于——儿时从母亲那里学到的道理，直到死都没有违背过。
# 金句总结
&gt; “朕日望大学士病体速愈，在佐朕料理机务几年。若事出意外，大臣中学问人品如大学士可代理内廷事务者为谁？”
康熙在陈廷敬临终前的询问，足见其在康熙心中不可替代的地位。
&gt; “自古未有不晓文艺之人可以为民父母者也。”
陈廷敬任左都御史时上奏的核心论点——给百姓当父母官必须要有文化，由此推动捐纳官员追加考试制度。
&gt; “我贤与虽折且怨，庸何伤。”
面对官场“和光同尘”的劝告，陈廷敬回应：只要人是对的、事是好的，即便遭受挫折和埋怨也无所谓。体现其知世故而不世故的为官品格。
&gt; “春归乔木浓阴茂，秋到黄花晚节香。”
康熙为陈廷敬亲赐的楹联，称赞其一生干干净净、晚节不亏。康熙还特别表示“自此不与人写字矣”。
&gt; “苟正其身矣，于从政乎何有？”
主讲人引用《论语》作结——一个人只要自身品行端正，治理政事就没有什么困难。这句话或许是陈廷敬3岁时就听母亲讲过，而他帅就帅在一生都没有违背过。</t>
  </si>
  <si>
    <t># 访谈概述
本期《锵锵三人行》由窦文涛主持，邀请《明朝那些事儿》作者当年明月（石悦）及嘉宾马未都，围绕日本历史剧《大奥》展开讨论，进而延伸到中日文化差异、日本民族精神、明朝历史解读等话题。节目后半段重点聚焦明朝历史的独特魅力、朱元璋的传奇人生、明代皇帝群像及历史研究的思维方式。
# [核心观点]
## 一、关于日剧《大奥》与日本文化
**《大奥》的历史背景与影响力**
- 三位嘉宾均认为《大奥》是继《大长今》之后更具影响力的国外电视剧
- 该剧分三部，前两部对应中国晚清到清初时段，第三部在明治维新之前
- “大奥”即中文的“后宫”，日语中“奥”指很深的地方，如“深奥”一词即保留此意
**日本人的严谨与专业精神**
- 当年明月表示，吸引他的是剧中“严谨的精神”——日本历史剧中看不到群众演员笑场，每个人都极其认真，具有专业精神
- 马未都回忆第一集片头即被震撼：将军出场时所有人呈45度鞠躬，场面华丽，色彩讲究
**日本民族精神的“极端”特质**
- 当年明月提出日本文化的核心是“极端精神”——所有事情要做到尽头
- 日本战后1945年用30年成为世界第二经济强国（绝对量而非人均量），是世界上强国中唯一没有资源的国家，这不是偶然而是必然
- 马未都补充日本跳槽率极高，但终身雇佣制下工作效率依然极高，是西方经济学无法理解的现象
**中日文化差异：中庸与极致**
- 当年明月以马未都家具店中一件硬木雕云彩的家具为例——硬木做得柔软，这就是中国的“中庸”精神
- 中国讲究“道”——不是对也不是错，不是黑也不是白，是一条最适合的路
- 日本精神恰恰相反，坚持一个原则做到极致，如炮手忘记一切只记得把这一炮开出去，即达到最高境界
**日本忠诚文化的具体体现**
- 马未都讲述剧中阿福25岁入大奥当奶妈，65岁去世，40年无论做什么事不处于私心、完全是公心，所有人都认为她是楷模
- 当年明月认为这种文化思维是“慢慢来才是最快的方法”——每个人按自己角度做自己的事，形成合力非常可怕
- 马未都举例日本做绳子的商人，几年不赚钱铺市场，最终以4%的利润赚大钱
**日本民族与死亡观**
- 当年明月认为日本看樱花只看落的那一天，因岛国生态环境恶劣，对死亡不是藐视而是“有点向往”，不惧怕
- 马未都对此有不同看法，认为日本民族不是藐视生命而是“重视”，是翻过来的
## 二、关于明朝历史与《明朝那些事儿》
**为何写明朝**
- 当年明月坦言“明史我最熟”，因为明史资料最多
- 历史研究有两个难点：一是先秦（如孙子事迹在《史记》中仅一两篇，多为编撰），二是明清——一个事件可能有七个不同说法，如同“罗生门”
**明朝本身的戏剧性**
- 马未都指出明朝260多年过程本身跌宕起伏，几次要死没死成
- 土木堡之变、夺门之变等事件——皇帝被瓦剌军抓了，又把他弟弟扶起来，完全构成现代版电视剧才能捏造出的离奇情节
**对朱元璋的评价**
- 当年明月推崇朱元璋：一个乞丐当上皇帝，历史上由最底层人坐上位的独此一个（刘邦好歹是个村长/乡长）
- 朱元璋从一起干到最后推翻元朝当上皇帝，明朝规章制度由他定下来，基本没有太大改动
- 朱元璋因要过饭，知道每一层的猫腻，所以疑心重
- 当年明月以《亮剑》中李云龙类比——没上过军事院校但会打仗，是在战场上死死生生积累的经验
**朱元璋起义的逼上梁山**
- 窦文涛提到朱元璋原本犹豫是否参加起义军，因送信被人听到告发，没办法才去起义
- 当年明月强调“历史最重要的是你要明白它是发生过的”——旁观者觉得好玩，但当事人是掉脑袋的事
**明朝的兴亡与经验教训**
- 马未都认为明朝经验有体现：仁宣盛世、晚明时期尽管政治黑暗、皇帝不上朝，但老百姓生活很好
- 当年明月补充晚明市民生活特别轻松，江浙一带工商业兴起，出现《三言二拍》等市民小说，是“温饱思淫欲”的娱乐产品
- 马未都以工艺品为例：明末工艺品变得非常精细，日本派大量工匠来中国交流学习；吴门画派（文徵明、唐寅）画的是小桥流水、风雨归舟图，充满欣赏感；到八大山人（朱耷）时画的都是翻白眼，因对社会愤愤不平
**历史教训的局限性**
- 当年明月引用名言：“我们从历史中得到的唯一教训就是我们从来没有从历史中得到过教训”
- 原因在于历史事件发生时有背景，我们并不比前人聪明，甚至可能比前人笨
- 史书记载下来的是“照片”，而实际生活是“录像”——你不知道那一幕之前和之后是什么
**明朝的趣味性**
- 当年明月认为明朝什么都有：宦官专政（魏忠贤）、文官专政（张居正）、皇帝专政（朱元璋）
- 皇帝出去了还能回来，回来了还能做皇帝
- 吴三桂与满清合作入关，名义是为崇祯皇帝复仇
- 1644年明朝灭亡那年，北京城发生大瘟疫“疙瘩瘟”（可能是天花）
**明朝皇帝群像**
- 正德皇帝（明武宗）要去江南，大臣跪在金水桥前抗议，锦衣卫打死了十几个仍不退让
- 正德皇帝在扬州要东西，地方不给；让人准备酒席，吃不了就折合银两带回去——“皇帝打秋风”
- 马未都认为正德皇帝被写坏了：明武宗实录是嘉靖时期编的，嘉靖是堂兄弟继位，不能把前任写得太好
- 当年明月举例正德从江南回来，在通州先停半年，派人打探京城有无埋伏——此人绝非史料所写那么蠢，非常有城府
- 天启皇帝爱当木匠，干完活拆大盆去卖，还打听卖得怎么样，成就感特大
- 马未都指出明式家具在国际上地位高绝非偶然，皇帝下那么大力气做，可见影响之深
**关于明史研究的“傲慢与偏见”**
- 窦文涛总结：很多人研究历史有傲慢与偏见，没有设身处地，老觉得自己聪明，判断前人昏庸无能
# [关键引语与金句]
&gt; “慢慢来才是最快的方法。”——当年明月
&gt; “我们从历史中得到的唯一教训就是我们从来没有从历史中得到过教训。”——当年明月（引用）
&gt; “历史最重要的是什么？就是你要明白它是发生过的。旁观者你看的多好玩，但你想他掉脑袋的。”——当年明月
&gt; “你站在一个历史的原点，你前后都看不见，你必须撤出来你才能看见。”——马未都
&gt; “史书上记载下来的是照片，而我们实际的生活都是录像——你不知道为那一幕之前和之后是什么。”——当年明月
&gt; “所有的偶然中一定有个必然的因素。”——马未都
&gt; “一个人到战场上死死生生多少年，没死，最后积累下来经验。我一上战场我就知道敌人会往哪走，我该怎么打。”——当年明月
&gt; “我们强调忠诚最终一定要冒这个风险，所以这个民族才繁荣。”——马未都（论日本忠诚文化）
&gt; “如果你在做一件事情的时候，夹杂了很多自己的想法，我们用中国话讲叫小聪明，觉得可以走捷径，但是那是错的。”——当年明月
&gt; “日本的文化跟中国的文化存在一个极大的不同。中国的文化精神是中庸。”——当年明月
&gt; “他（朱元璋）因为知道每一层的猫腻，他就疑心重，这是肯定的，但他全知道，这种人才上。”——马未都
# [补充信息]
**关于《大奥》剧情细节**
- 窦文涛提到剧中情节：一位女子本有情人，情人发誓救她出来，将军死后情人放火来救，但女子拒绝跟他走，因将军生前告诉她“哪怕掉到井里，都可以有自己的一片天空”，她选择出家——这是日本忠诚文化的具体体现
**关于日本社会现象**
- 马未都讲述参观日本豆腐厂的经历：豆腐规定当天做当天卖，所有人夜里11:45做好不动手，看着表等到夜里12点整才开始干活，4点多干完上市
**关于明朝灭亡的补充**
- 当年明月提到与老师交流，认为明朝灭亡很蹊跷，“什么坏事都让他赶上了”
- 马未都提出中国历史王朝300年是大限，超过300年的只有宋朝（南北宋接上，但退让了大半个国土）
**关于审美差异**
- 马未都认为宋明是典型的汉人文人政权，审美比较高，对美的判断不是表象的；满族进来后对美的判断都是表象的
- 100年前晚清到民国初年，值钱的一定是素雅的；今天凡是外在直观能看到的都卖得非常贵
**关于正德皇帝**
- 马未都提到正德皇帝不留种、没有正宗传下来，皇位拐弯到嘉靖
- 当年明月提到正德皇帝有豹房（实为动物园，养了豹子），但嘉靖时期编的明武宗实录有偏颇，因嘉靖上台搞“大礼仪事件”为自己父亲追封皇帝</t>
  </si>
  <si>
    <t># 访谈概述
本次访谈为作家余华在三亚的深度对话，围绕其文学创作历程、写作理念演变、面对批评的态度及个人生活感悟展开。余华回顾了自己从初学写作到形成成熟风格的三个阶段，分享了《兄弟》《第七天》《文城》等作品背后的创作故事，谈及对马尔克斯影响的反思、对互联网时代名声的看法，以及对自己未来写作方向的规划。访谈中余华以坦诚、幽默的态度回应了关于“仁慈”“网红作家”“中年危机”等话题，展现了一位成熟作家对自我、时代与文学的清醒认知。
# 核心观点
## 一、文学创作的三个阶段（1.0、2.0、3.0）
余华将自己在文学创作上的成长划分为三个重要阶段：
**1.0版本——坐下来写**：余华强调年轻时期最重要的就是“逼着自己坐下来写”，让“屁股和椅子建立友谊”。他坦言，如果当初没有在离开书桌躺到床上休息时幻想自己作品会多么了不起，可能就不会去写它。当时他的目标是“对着托尔斯泰和陀思妥耶夫斯基去的”，虽然现在知道距离不可逾越，但正是这种野心和幻想支撑他一篇篇写下来，同时对自己的写作始终不满意。
**2.0版本——心理描写的突破**：以《在细雨中呼喊》为标志，余华在写作中遇到了心理表现的障碍。他通过威廉·福克纳获得启发——福克纳写一个穷白人杀了富白人后的内心状态时，“让心脏停止跳动，让眼睛睁开”，用视觉描写替代心理描写。余华举例鲁迅《狂人日记》中“赵家的狗看了我一眼”的写法，一下就让人感受到人物的精神状态。他还特别指出，自己曾去过精神病医院，发现精神病人说话逻辑是清晰的，只是“空向跟你不是一个方向”，因此那些用“语无伦次、没有标点符号”来表现精神错乱的写法是错误的。
**3.0版本——畅通无阻**：心理描写可以通过视觉和行为来表现之后，余华的写作进入畅通无阻的状态。他认为《活着》之后可能被人认为是4.0版，但对他而言已不再是难题，因为写作已经成熟——写一个没有文化的农民讲述自己的故事，必须用最朴素的语言，不能用华丽的语言。余华认为3.0版本已经够了，“已经是大海了”。
## 二、关于《兄弟》的创作与时代变化
余华透露《兄弟》最初写于1996年，当时中国社会已经处于复杂变化中。但2003年至2004年重新拿回来写时，他庆幸这部小说在1996年没有写完——因为从2004年回看，96年时的变化“不算什么”，那才是真正巨大的变化。
## 三、最好的写作状态与遗憾
余华认为最好的写作状态出现在40多岁到50多岁期间，即《兄弟》到《第七天》之间，但“那段时间我就玩掉了”。他提到有两个小说只写了一半，其中一个在《文城》中被救活了。最大的痛苦是：2006年开始写的一部长篇小说，时间跨度与《兄弟》相同，但从个人角度而非时代角度出发，想用接近陀思妥耶夫斯基式的激烈方式去写。虽然身体状态还能维持这种激烈，但“那个感觉没了”——80年代和90年代的感觉正在远去，很难找回来。他坦言：“我已经把那个40多岁到50岁最好的一段时间浪费掉了，就出了两部。”
## 四、写作与时代相遇
余华认为“作家就是什么时候写什么作品很重要”，对的时机就会写得很顺。他举例《十八岁出门远行》一天就写完了6000字，对他这种写字慢的人来说是个奇迹。中国始终处于巨大变化的时代中，作家需要与时代相遇，并在时代来临时有足够的激情。
## 五、对高度的放弃与对宽度的追求
余华明确表示“对高度已经不追求了，我现在追求这个宽度”。他认为自己作为作家能够走到的高度已经就是现在的高度，可以允许自己下滑一些，但不要下滑太多。年纪大了以后，不再像年轻时那样充满野心，而是知道自己的能力在哪里、长处在哪里、还有多少潜力。但他也保留可能性：“也许运气来了，我就在我的最后一部作品上创上这一个新的高度，这也不是可能性没有，但是我也就不去想。”
## 六、对马尔克斯影响的反思
余华直言：“我们这一代作家在很大程度上都是被马尔克斯误导的。”他们整整一代中国作家都想在一本书里写一个世纪的故事，但“没有必要”。他列举托尔斯泰、狄更斯、莎士比亚、巴尔扎克、福楼拜、司汤达、契诃夫等伟大作家，指出他们并没有这样做。马尔克斯开创了一个先例，但“没有能力在一个不到30万字的小说里面写出一个世界”，马尔克斯能写出拉丁美洲那个最混乱的世界，不代表别人也能写出来。余华表示现在知道自己要什么：把所处的时代通过更多的方式表现出来。
## 七、面对批评的态度
**《兄弟》时期**：余华原本期待出版后“肯定是一片赞扬”，结果“一片骂声”让他有点糊涂。他当时努力想通过接受采访来解释作品，但效果不佳。
**《第七天》时期**：他只接受了一个采访，什么都不做了，“就让他们去骂吧”。出版前他告诉出版社的朋友们要做好思想准备，结果果然一片骂声。
**《文城》时期**：骂声仍有但少了一些，“骂人的人也累了”。
余华总结出对待批评的方式：第一，不要去看；第二，有些批评要重视。他区分了两种批评——有些批评没有道理，比如批评《兄弟》中宋凡平这个人物写得太完美，但宋凡平不是贯穿全书的角色，只是一个阶段性人物，只能写他在那个特殊阶段的表现；有些批评则有提醒价值，比如有人指出《第七天》中社会底层人也未必都那么善良，这句话说得很好，他在以后写小人物的作品中会考虑进去。
## 八、关于“仁慈”与喜剧创作
对于有评论说余华变得仁慈了，他回应“我觉得我活着也蛮仁慈的”。他坦言自己的悲剧写得太重了，“我的作品几乎都是悲剧”，但他表示“把悲伤留给虚构，把欢乐留给现实”。他计划先写完一个喜剧，想改变读者对他的印象，让读者不再觉得“这个人就那么悲观”。
## 九、关于互联网名声与“网红”身份
余华经历了在互联网上突然走红的阶段，中间曾停了一年，不做任何活动和采访。他原本以为按照过去的经验，一年不出现就会在媒体上消失，但发现“自媒体时代不是这样，他把你的那个几十年前的事情都给翻出来了”。他特别指出：“在互联网上，起码我看到的，关于我说的话，有一半不是我说的。”他举例澄清：“想要命好的”不是他说的，“精神内耗，就是心里的戏太多”也不是他说的。
对于担心喜欢会消散的问题，余华表示不担心，因为“我不是靠说话的，我的工作是写作，所以不说话其实也挺好”。
## 十、关于中年危机与自我调节
余华回忆34岁时在年终总结中写道：一个成年人每到年底都会发现一种虚无，本来对生活充满信心的人变成一个厌世者。他当时的感觉是“生活好像每天都在呼吸了，但是人口增加了呀，孩子来了呀，空间并没有因此变得宽敞一点”。他发现只有写作能带来新的东西，“虚构的世界给你带来一些新的东西，而现实世界是每天都是重复的”。
对于如何排解焦虑，余华给出的方法是：“发生的事情我们是无法去选择什么让它发生，什么让它不发生，但是我们可以选择什么让自己去知道，什么让自己去不知道。”如果网上负面消息太多，可以选择不看、屏蔽掉，“我们有这个权利选择，而且我们也有这个能力选择”。
## 十一、关于海流经历与人生感悟
余华讲述了自己小时候每年夏天在海盐游泳的经历。有一天他一直游，发现自己进入了一个海流，他知道不能挣扎，只能跟着海流走，一直到了40里外的地方才爬上来，然后赤脚沿着海边走回来，天快亮了。他回忆当时在杭州湾的海水里，海水是黄色的，但课本上说海水是蓝色的，他一直以为能游到海水变蓝的地方。在海流中他只能看天空，发现灯光会让天空的颜色出现变化。当他看到远处有星星点点的光亮时，“真的是感动了，我觉得海浪带我回家了”。他感慨：“假如没有海流的话，我很可能游到一个让我游不回来的地方。那个海流对很多人来说可能真的是个坏事，但那一刻对我来说，如果没有遇到海流的话，我今天不会做这个，可能就回不来了。”
余华还提到在三亚看到了小时候的天空——因为这里没有污染，“晚上的星空是我童年的星空”。他经常和太太晚上走路时看天空、看月亮，通过光晕发现“月光是金色的，它不是银色的”。
## 十二、关于童年第一次看到大海
余华回忆童年第一次看到大海时，感受到的是“宽阔”和“辽阔”。他后来回望才意识到那一刻感受到的是人生。小时候的人生感受是向前看的，因为“你是一个空白，你是在填补自己，用经历来填补自己的人生”；现在的人生感受是往后看的，“回忆占多了”。
## 十三、关于莫言在莎士比亚故居“发誓”
余华澄清了莫言在莎士比亚故居前发誓要成为剧作家的事情：“那都是他瞎扯。”他回忆当时是跟苏童、莫言三人一起去莎士比亚故居的，莫言并没有发誓，而是在挑选帽子，帽子钱还是余华付的。他们买了三顶一样的深蓝色帽子，上面有莎士比亚的名字，在伦敦和牛津天天戴着，但“莎士比亚没有给予我们任何一点灵感”。余华还调侃说莫言是因为小说对话写得好才去写话剧的，“他20多年前就开始写话剧了”，并预言“再过几年他又会换一个说法”。
## 十四、关于未来计划
余华表示希望下一部作品能快一点出来。他计划开学时去和学生们见面，处理学校事务后回到三亚，安安静静地把写作的感觉找回来。他目前正在整理一部作品，并计划先写一部喜剧。
# 关键引语与金句
&gt; “假如你不坐下来写，你那个躺在床上想我的作品怎么成功，那是没有用的，坐下来让屁股和椅子建立友谊，这是很重要的。”
&gt; “当时我觉得我将可能我的目标是对着那个托尔斯泰和陀思妥耶夫斯基去的，现在我知道我离他们的距离是不可逾越的，但是就是这种野心，这种幻想，然后能够支撑让我一篇篇写下来。”
&gt; “福克纳所采用的方式就是让心脏停止跳动，让眼睛睁开。心理描写没有心理，它是视觉描写。”
&gt; “我已经把那个40多岁到50岁最好的一段时间浪费掉了，就出了两部。”
&gt; “我能够就是允许自己下滑一下，但再不要下滑的太多。”
&gt; “我们这一代作家在很大程度上都是被马尔克斯误导的。我们整整一代中国作家都想在一本书里边写一个世纪的故事，但是其实没有必要。”
&gt; “把悲伤留给虚构，把欢乐留给现实。”
&gt; “发生的事情我们是无法去选择什么让它发生，什么让它不发生，但是我们可以选择什么让自己去知道，什么让自己去不知道。”
&gt; “在互联网上，起码我看到的，关于我说的话，有一半不是我说的。”
&gt; “我的工作不是说话的，我的工作是写作，因为我的工作是写作，所以不说话其实也还挺好。”
&gt; “假如那个历史的长河里边有一个主题的话，这个主题就是遗忘。就是一个遗忘的人，因为那些能够勉强被微风吹进耳朵的人，那也是勉强吹进来的。”
&gt; “人生就是被无穷无尽的……我们永远不知道明天会发生什么。但是呢，感受不一样。因为小时候的人生的感受是向前看的，现在的人生感受是往后看来的，就回忆占多了。”
&gt; “海流对很多人来说可能真的是个坏事，但那一刻对我来说，如果没有遇到海流的话，我今天不会做这个，可能就回不来了。”
&gt; “通过光晕我才发现，其实月光是金色的，它不是银色的。”
&gt; “我就知道我要什么，就把我所处的时代能够更多的通过更多的方式给他表现出来。”
&gt; “一个人怎么会在互联网上火起来以后，真的是不是自己能够掌握的。”
&gt; “有些批评你要重视……有些批评是没有道理的。”
&gt; “作家就是什么时候写什么作品很重要，对的，你就会写得很顺。”
# 补充信息
1. 余华目前在三亚生活和工作，日常安排为写作、读书听音乐和锻炼。
2. 余华的长篇小说出版间隔：《在细雨中呼喊》到《活着》间隔十年，《活着》到《兄弟》间隔十年，《兄弟》到《第七天》间隔八年，《第七天》到《文城》间隔八年。被问及下一部长篇是否在2029年时，余华表示希望快一点。
3. 余华提到2006年开始写的一部长篇小说只写了一半，时间跨度与《兄弟》相同，但从个人角度出发，想用接近陀思妥耶夫斯基式的激烈方式去写，目前因“感觉没了”而搁置。
4. 余华计划先写一部喜剧，以改变读者对他“悲观”的印象。
5. 余华曾去过精神病医院，以此说明精神病人说话逻辑清晰但“空向”不同的观察。
6. 余华与莫言、苏童曾一同前往莎士比亚故居，三人购买了同款深蓝色帽子（上有莎士比亚名字），余华表示帽子已找不到了。
7. 余华提到自己曾有一年的“冷静期”，不做任何活动和采访，但发现自媒体时代即使消失一年，过去几十年前说过的话也会被翻出来。
8. 余华澄清网上流传的“想要命好的”和“精神内耗，就是心里的戏太多”等语录并非他所说。
9. 余华在访谈中提及《文城》救活了他之前写了一半的小说。
10. 余华在访谈中提及，他写《十八岁出门远行》时一天就完成了6000字，对他而言是个奇迹。</t>
  </si>
  <si>
    <t># 柏林战役讲座纪要
## 讲座概况
本次讲座系统梳理了柏林战役的历史背景、双方兵力部署、战役进程及最终结局，并围绕战役中的关键人物、争议细节和后续影响展开了深入讨论。讲座从1945年欧洲战场的整体态势切入，分析了苏军抢占柏林的战略动机、双方兵力对比、三个阶段的主要作战行动，以及希特勒自杀、苏军攻克国会大厦等标志性事件。在问答环节，主讲人进一步回应了关于城市战特点、希特勒自杀细节争议、英美为何不攻占柏林、相关影视作品推荐等问题，并补充了红旗插上国会大厦照片背后的历史细节。讲座最后指出，柏林战役的结局直接奠定了战后欧洲格局，深刻影响了冷战时期的东西德分裂局面。
## 核心观点与论证
### 一、战役背景与战略动机
1945年，同盟国和苏军已从不同方向攻入德国本土，纳粹政权覆灭只是时间问题。主讲人指出，对于苏联而言，占领柏林具有至高无上的象征意义——柏林是法西斯德国的大本营和纳粹最大的巢穴，谁占领柏林，谁就能在二战结束后获得至高无上的国际地位。因此，苏联从上到下团结一致，以柏林为目标发动了一次不惜代价的强攻。
从战场态势看，苏军已进抵奥德河、尼斯河一线（今德国与波兰边境地区），距柏林仅60公里；而英美联军才刚到易北河一带，距柏林还有100至120公里。苏军显然已获得先发制人的机会。
### 二、双方兵力部署
**苏军方面**：
- `白俄罗斯第一方面军`，指挥官为朱可夫元帅，从奥德河一线、奥德-法兰克福方向北部对柏林实施突击与包围
- `乌克兰第一方面军`，指挥官为科涅夫元帅，由克拉科夫及德累斯顿方向前出，从南部绕至柏林，前突至波茨坦地区，对柏林实施西部包围
- 两个方面军总计约250万人，从北部的什切青到南部的德累斯顿形成合围网
**德军方面**：
- 主要防守力量为从东线撤离的`中央集团军群`残部、`柏林卫戍部队`以及`国民掷弹兵部队`（由年纪较大的老人和16岁以下孩子组成的民兵部队）
- 总兵力约100万人，部署范围从柏林到桑多梅日桥头堡及奥德河一带
### 三、战役进程
**第一阶段（1945年4月16日起）** ：苏军以数以千计的火炮和喀秋莎火箭炮轰击德军阵地。白俄罗斯第一方面军越过奥德河突击，乌克兰第一方面军越过尼斯河展开进攻。但由于德军在桑多梅日桥头堡的防线修筑较为坚固，苏军直到4月20日左右才进抵柏林城区（今柏林潘科区及帕卡洛镇一带）。
**第二阶段（4月24日前后）** ：白俄罗斯第一方面军突进至柏林市区，而科涅夫元帅指挥的乌克兰第一方面军仍在向柏林边缘靠近。德军方面，温克将军指挥的`第十二集团军`表现突出，与苏军进行了持续周旋。
**第三阶段（4月30日至5月2日）** ：
- 4月29日，希特勒与其情妇爱娃·布劳恩举行婚礼
- 4月30日，希特勒夫妇双双饮弹自尽。此时苏军距希特勒所在的地堡仅两条街的距离，希特勒不甘于兵败被俘，选择自杀。其部下用汽油焚烧了尸体，此后外界未能见到其遗体全貌，仅获得一堆烧焦的残骸
- 4月30日夜间，苏军占领柏林德国国会大厦
- 5月2日，苏德双方经过谈判与拉扯后，柏林德军全部放下武器投降。柏林城防司令魏德林宣布柏林其余所有地区的德军向苏军缴械投降。除少部分由第九集团军及温克第十二集团军残部在其将领温克率领下渡过易北河向英美盟军投降外，其余全部投降
**战役结束与后续**：5月2日柏林战役结束。5月9日，德国宣布无条件投降，将其所属领空、领海、所有机械设备及仍控制中的海外属地（荷兰、丹麦、挪威、库尔兰即今波罗的海三国地区、捷克斯洛伐克地区）无条件交予英美盟军及苏俄最高统帅部。二战欧洲部分正式结束。
### 四、城市战的特点
主讲人指出，柏林战役是人类历史上最大规模的城市作战。城市战与野外作战有明显区别：在城市街道环境中，敌军可能从任何方向发动攻击，坦克和车辆暴露在街道上，敌人可利用火箭筒、建筑内的机枪从楼房或其他街道发动袭击，作战环境极为困难和危险。
### 五、英美为何不攻占柏林
主讲人解释，丘吉尔当时确实想抢占柏林，但盟国事先已在战后德国地盘划分上达成协议——柏林战后属于苏联占领区，同时柏林会分出一半区域给西方盟国（即后来的西柏林）。美军统帅艾森豪威尔认为，美军攻占柏林会增加不必要的伤亡，且占领后仍需将西柏林交还，整个德国东部都是苏联占领区，西方盟军最终还要撤出，得不偿失。与其如此，不如尽可能占领更多德国精华地带，如慕尼黑、斯图加特、纽伦堡、汉堡、法兰克福等。此外，打完德国后盟军还有求于苏联共同对日作战。
### 六、战役的历史影响
柏林战役的胜利奠定了冷战欧洲部分的基本格局。德国随后分裂为东西两个德国，分界线大致沿从罗斯托克到南部图林根一带形成。这一分裂局面一直持续到1990年两德统一。
### 七、相关史料与影视作品
主讲人推荐了以下参考资料：
- 书籍：朱可夫自传、崔可夫自传，以及斯大林传记中关于柏林战役后苏俄与西方博弈的记载（涉及西柏林地区划分及德国边境重新划定）
- 影视：苏联拍摄的《柏林战役》、德国拍摄的《帝国的毁灭》（后者侧重希特勒最后生平及柏林防守人事任命，前者侧重从高层到基层的全面描写）
## 金句总结
&gt; "谁要是能占领了柏林，谁在第二次世界大战结束之后，可以获得至高无上的一个地位。"
主讲人以此说明苏联不惜代价强攻柏林的核心动因——柏林作为纳粹大本营的象征意义，使其成为战后国际地位的重要筹码。
&gt; "对于纳粹德国来说，可以说是丧钟敲响的开始。"
主讲人以此概括苏军进抵奥德河-尼斯河一线、距柏林仅60公里时的战略态势，标志着德国败局已定。
&gt; "除了少数亲信以外，大部分人都坚信纳粹没有覆灭，还在以自欺欺人的方式麻痹自己和苏军进行不同程度的战斗。"
主讲人以此解释希特勒尸体被焚烧后，外界传言纷纭、谣言盛起的原因——缺乏确凿证据，加之部分人拒绝接受纳粹覆灭的现实，导致各种说法流传至今。
## Q&amp;A 环节
**问：城市作战跟野外作战有什么明显的区别吗？**
答：城市战中，敌军可能从任何方向发动攻击，坦克和车辆在街道上容易成为靶子，敌人可利用火箭筒、建筑内的机枪从楼房或其他街道发动袭击，作战环境非常困难和危险。
**问：是不是这个战役里面希特勒自杀了？**
答：是的。1945年4月30日，柏林已被苏军围死，没有任何突围希望，苏军距希特勒地堡仅两条街。希特勒不甘于兵败被俘，与夫人爱娃·布劳恩一起举枪自尽。
**问：希特勒在地堡自杀的细节为什么至今仍有争议？**
答：因为希特勒自尽后，部下用汽油焚烧了他的尸体，至今未见到其遗体全貌，仅获得一堆烧焦的残骸。外界说法不一，缺乏确切证据。除少数亲信外，大部分人不愿相信纳粹覆灭，以自欺欺人的方式继续战斗，各种民间传言导致谣言盛起。
**问：主要进攻柏林的是苏联方面的部队吗？为什么英美不打柏林？**
答：主要进攻的是苏军，同时还有半数波兰共产党的部队参与。英美不打柏林的原因：一是盟国事先已达成协议，柏林战后属于苏联占领区，西方盟国只获得西柏林部分；二是艾森豪威尔认为美军攻占柏林会增加不必要伤亡，且占领后仍需撤出，得不偿失；三是西方盟军更倾向于占领慕尼黑、斯图加特、纽伦堡、汉堡、法兰克福等德国精华地带；四是盟军还有求于苏联共同对日作战。
**问：西欧部队和东边的苏联部队事先有交流吗？**
答：没有。双方事先没有沟通，最后在易北河会师只是偶然，双方见到对方部队才知道合拢了。这个事先双方高层没有达成共识，实际上是各打各的。
**问：著名的"红旗插上国会大厦"照片有什么细节？**
答：那面红旗其实不是标准的苏联制式军旗，而是士兵们临时用床单和颜料绘制的。此外，插旗的士兵当时手上还戴着三块从德国老百姓手里抢来的手表，摄影师觉得有碍国际观瞻，让士兵重新摆拍，把手表藏起来后才拍下了那张经典照片。
**问：这场战役大概持续了多久？**
答：从4月16日开始，一直进行到5月2日结束。
**问：有什么书可以推荐阅读吗？**
答：可以看朱可夫自传、崔可夫自传，以及斯大林传记中关于柏林战役后苏俄与西方博弈的内容，涉及西柏林地区划分和德国边境重新划定。
**问：B站上比较火的鬼畜片段就是这个战役末期发生的吗？**
答：对，那个希特勒鬼畜片段出自电影《帝国的毁灭》，尤其是希特勒大骂温克那一段，指责温克丢下柏林逃跑的情节。</t>
  </si>
  <si>
    <t># 全文摘要
本次会议围绕社会约定俗成规则的合理性、理想工作形态、人工智能与机器人的发展前景及其潜在风险等话题展开讨论。与会者首先探讨了结婚、买房、工作等社会规则的合理性，认为这些规则应视个人能力和具体情境而定。随后讨论转向理想工作形态，提出按兴趣工作、由AI承担苦活累活等设想。最后，讨论聚焦于机器人拥有独立思想意识的可能性及其潜在威胁，与会者引用《终结者》、斯皮尔伯格《人工智能》、蔡明小品、数码宝贝等影视作品和动漫中的情节，探讨了机器人反抗人类、人类被奴役等科幻场景，并对机器人思想与智能的关系、军事应用现状等进行了交流。
## 社会规则合理性的讨论
- 与会者认为结婚、买房等社会约定俗成的规则并非绝对合理，经济环境和个人能力是重要影响因素。
- 有观点指出"必须结婚""必须买房"等规则在经济好的时候可行，经济不好时则不太可行。
- 讨论认为结婚取决于遇到什么样的人，买房取决于经济能力，不能一概而论。
- 关于工作，有观点认为人必须工作是合理的，因为不产生财富社会无法运转，但工作形态应更合理，即干自己想做的事，不过分与金钱挂钩。
## 理想工作形态的探讨
- 理想工作状态被认为是每天根据自己的兴趣做事，参考兴趣干活。
- 有与会者提出"有没有可能不干活更好"的疑问。
- 宠物博主被举例为理想工作，每天发布宠物日常、剪辑视频即可赚钱；游戏高手也被提及。
- 但讨论指出总有一些脏活累活无人愿意承担，有观点认为应让AI去做苦活累活，而非让AI从事创作和艺术类工作。
- 有与会者引用蔡明的小品，讲述机器人将主人的手表和皮鞋煮汤的情节，引发关于"机器人负责生产、人负责享受"能否实现的讨论。
## 机器人思想意识与潜在风险的讨论
- 与会者讨论未来AI普及并应用到实体后，机器人可能拥有自己的思维，讨论认为只要人类控制得当，人类可免于苦活累活。
- 也有观点指出上层人士可能为保持对普通民众的优势而阻碍这一进程，存在阶级因素。
- 有与会者提出扫地机器人等家用机器人的发展前景，未来可能出现能打扫、能做饭的家用机器人。
- 关于机器人是否应拥有思想，有观点认为机器人只需接受命令、执行命令即可，不必拥有思想；但也有观点认为智能和思想无法分开，有思想才能执行指令，而思想可能带来不良影响。
- 与会者引用《终结者》剧情，担忧机器人拥有独立思想意识后不甘被压迫、奋起反抗，最终奴役人类。
- 斯皮尔伯格执导的《人工智能》电影结局也被提及，归结于类似探讨。
- 有与会者提到人类给自己安装机械装置的半机械人形态，以及军队中单兵装甲外骨骼、智能枪械、智能火箭发射器等装备，认为若未来列装普及，可能不再需要单兵轻武器。
- 排雷机械狗、机械车等设备被提及已在应用。
- 讨论还涉及《重返德军总部》中的超级战士，以及《数码宝贝》中从守卫兽和机械装甲兽进化而来的安多路兽、黑暗四天王之一的机械邪龙兽等角色，提及安多路兽在第二部第七集中通过人脸识别判断人物身份的剧情，认为日本在九十年代就有人脸识别和人工智能识别的思维构想。
## 会议收尾
- 会议临近结束时，与会者确认录音时长已足够，讨论语音分离标注相关技术问题，随后结束会议。</t>
  </si>
  <si>
    <t># 全文摘要
本次会议围绕日本经典怪兽IP“哥斯拉”系列电影展开讨论，系统梳理了哥斯拉从1954年首部电影诞生至今的发展脉络、美日两版剧情的差异、哥斯拉的角色定位及其背后的环保主题。同时，讨论延伸至日本核废水排放的现实问题，以及切尔诺贝利核事故的后续影响，将虚构作品与现实议题进行了关联探讨。
## 哥斯拉系列电影发展脉络
- 哥斯拉系列电影始于1954年，迄今已有70余年历史，日本和美国均翻拍过不同版本
- 哥斯拉的起源设定为海底生物因吸食核废料、核废水后变异为庞然大物，对人类世界展开报复
- 哥斯拉在日本神话中定位为大自然的守护神，攻击人类的原因是人类无限制进行核试验、破坏自然生态
- 哥斯拉系列电影中，哥斯拉始终未被真正消灭，每次战败后重新沉睡，为后续续集留下伏笔
## 美国版哥斯拉电影剧情梳理
- 2014年美国重启版：哥斯拉与人类携手团灭以核废料为能源的两个蝙蝠变异物种“雾托”
- 第二部《哥斯拉：怪兽之王》：人类频繁核试验唤醒全球沉睡怪兽，外星生物基多拉降临地球，人类试图用水下子母弹方式使哥斯拉窒息，但基多拉不受影响，哥斯拉差点被溺死，后人类通过核武器实爆重新唤醒哥斯拉，使其击败基多拉
- 第三部《哥斯拉大战金刚》：反派残余势力将基多拉仅存的一个头颅加装机械装甲，制成机械基多拉，最终金刚与哥斯拉不计前嫌联手将其击败，战斗场景发生在香港九龙
## 日本版哥斯拉电影剧情
- 日本版剧情较美国版更为复杂，人类反派被设定为外星人形象，外星人控制基多拉和其他怪兽，哥斯拉因基因与其他怪兽不同，反杀外星人控制的怪兽并解放地球
- 2016年日本版《新哥斯拉》：海中蜥蜴类生物吸收核废料后不断升级变大，人类各种武器攻击不仅无效反而增强其战斗力，最终以无人机投放炸弹耗尽能量，再用冷冻剂将其封印
- 2004年日本电影《哥斯拉最后的战斗》有中国演员章子怡参演
## 哥斯拉与奥特曼的关系
- 哥斯拉与奥特曼均出自导演圆谷英二，但属于不同的两条时间线
- 哥斯拉是地球本土物种，奥特曼来自奥特之星，两者均为正面形象，未有过直接战斗
- 翼龙怪兽拉顿在哥斯拉和奥特曼作品中均作为反派与正派形象战斗过
## 日本核废水排放的现实讨论
- 与会者认为，只要日本不停止排放核废水，哥斯拉这类题材就不会停止创作
- 有观点指出日本排放核废水的决定权不在日本自身，受美国影响
- 与会者提到此前中国曾禁止进口日本水产品，后已放开
- 有留日经历者表示，在日本留学期间购买鱼类均选择中国进口产品，日本国产商品因民族自信心理价格偏高
- 关于核废水对人体的伤害，与会者表示目前未见变异案例，但存在引发白血病等病变的可能
## 切尔诺贝利核事故的对比讨论
- 切尔诺贝利位于乌克兰，核反应堆已被水泥封存，普里皮亚季和切尔诺贝利一带被称为“鬼城”，方圆百里为无人区
- 与会者认为切尔诺贝利至少进行了拦截和封存处理，相比之下日本核废水排放更不负责任
- 提及游戏《使命召唤4》中“双狙人”关卡，剧情涉及英国SAS特种部队在切尔诺贝利狙杀车臣派军的情节</t>
  </si>
  <si>
    <t># 讨论议题与背景
本次小组讨论围绕“18岁以前的深刻印象和记忆”展开，成员们依次分享了各自在中学阶段的课余生活，话题自然延伸至当年的流行文化，包括电子游戏、漫画小说、音乐爱好等。讨论重点集中在**学生时代的娱乐方式**，尤其是电脑游戏的演变历程，从早期的《穿越火线》《反恐精英》到《求生之路》《使命召唤》等系列作品，并延伸至游戏与现实社会的关联性探讨。
# 发言要点
## 一、学生时代的课余生活
- **发言人1**：初中走读，每周一下午四点放学后喜欢去游戏厅和网吧，当时流行《穿越火线》《反恐精英Online》以及动视、艺电、暴雪三大厂商发行的游戏（如《使命召唤》《战地》《魔兽》）。高中因高考压力不敢逃课，转而喜欢搞乐队，追求朋克金属风格的音乐。
- **发言人2**：18岁前从未逃过课，大学后才逃过一次课。
- **发言人3**：认为逃课是正常现象。
- **发言人4**：指出大学逃课不算数，讨论范围应限定在初高中阶段。
## 二、流行文化与阅读
- **发言人5**：特别喜欢郭敬明的小说。
- **发言人2**：认为郭敬明的小说读起来让人难受、感到扭曲，提到《梦里花落知多少》。
- **发言人5**：补充当时还有一些杂志。
- **发言人2**：喜欢看漫画。
- **发言人4**：班上流行看柯南。
- **发言人1**：当时流行看《名侦探柯南》和香港漫画《老夫子》。
- **发言人5**：提到《萌化三国》。
- **发言人2**：提到《意林》《读者》《故事会》等杂志，当时觉得《意林》讲得很好，现在回头看很多内容发生了反转。
## 三、电脑游戏的流行演变
- **发言人4**：小学和初中时期流行《摩尔庄园》《赛尔号》。
- **发言人1**：初中时期流行《CS Online》（反恐精英Online），高中（约2010年）流行单机游戏《求生之路》，可局域网联机。
- **发言人5**：玩过《仙剑四》，也玩过《仙剑奇侠传》系列。
- **发言人2**：初中玩过《魔兽争霸》（单机），与《魔兽世界》（网游）有区别。
- **发言人5**：提到《英雄联盟》《DOTA》《王者荣耀》之间存在鄙视链。
- **发言人2**：认为《王者荣耀》处于鄙视链最底端。
## 四、第一人称射击游戏与《穿越火线》争议
- **发言人1**：玩过《CS 1.5》《CS 1.6》，曾在贴吧和QQ空间写文章批评《穿越火线》抄袭，后被穿越火线平台封禁，从此成为CS反恐精英的铁杆粉丝。最喜欢僵尸模式，曾被学校舞蹈队成员形容跳舞姿势像“舞体僵尸”。
- **发言人2**：现在看《穿越火线》感觉像像素游戏。
- **发言人5**：质疑当时这类暴力游戏没有年龄限制，印象中这类游戏是叔叔、姑父辈在玩，同龄人中玩得不多。
## 五、《求生之路》的深度讨论
- **发言人1**：详细介绍了《求生之路》第二部的游戏内容，包括可用东洋刀、电锯、砍刀等武器砍杀丧尸群，画面血腥暴力，因此有年龄限制，未成年人不能注册Steam账号。游戏中最怕的角色是坦克，最烦的是Smoker（烟鬼，会用长舌头捆住玩家）和Jockey（骑在玩家肩膀上使角色失控）。
- **发言人1**：高度评价游戏制作团队精准预测了美国政府在面对大灾难时的表现——2020年新冠疫情爆发后，美国政府的应对与游戏中的预测一致，这也是疫情后该游戏在全球重新火爆的原因。游戏设定中，美国政府起初对病毒传播默不作声，导致疫情失控后军队强力介入，以暴力清理方式处理（不论是否感染一律枪毙），结果军队也被感染失控。主角团不相信政府承诺，自行拿起武器自救，前往荒岛开辟新住处。发言人认为该游戏通过自有发行方式变相揭露了美国政府的虚伪。
- **发言人6**：评价“艺术源于生活”。
- **发言人2**：提到欧美玩家确实热衷打僵尸类游戏，此类模式一上线，欧洲年轻人便疯狂在线游玩。
- **发言人1**：补充《生化危机》系列也是病毒泄露、政府反应迟钝导致失控的设定，尤其《生化危机3》直接用核武器将整个城市夷平。
## 六、游戏与电影的先后关系
- **发言人2**：询问游戏与电影的先后顺序。
- **发言人1**：《生化危机》先有游戏后有电影；《求生之路》是在《惊变48小时》《生化危机》等电影基础上，先有电影后有的游戏。
- **发言人4**：提问《变形金刚》的先后顺序。
- **发言人1**：认为《变形金刚》先有玩具，后有动画和电影，提到绿日乐队（Green Day）曾为变形金刚出过MV。
## 七、其他游戏话题
- **发言人3**：小时候经常玩塔防游戏，如《植物大战僵尸》，现在还在玩《Kingdom Rush》融合版。
- **发言人2**：提到《植物大战僵尸》后期有特别变态的版本，满屏子弹，电脑都卡得扛不住。
- **发言人1**：询问大家对《使命召唤》的游玩情况。
- **发言人2**：认为这类游戏太男性化。
- **发言人1**：介绍《使命召唤》分为“黑色行动”和“现代战争”系列。黑色行动以冷战时期美苏真实历史为背景展开秘密行动；现代战争第一部贴合车臣战争、伊拉克战争、海湾战争，但后续剧情中美国挑衅俄罗斯、俄罗斯反杀到美国本土并吊打北约的设定，结合当前俄军在乌克兰的表现，有些高估俄罗斯。
- **发言人6**：评价“感觉都挺歪的”。
# 共识形成
- 小组成员一致认为**学生时代的课余娱乐方式高度集中于电子游戏和流行文化**，游戏是大家共同的青春记忆载体。
- 对于《求生之路》的讨论，成员们达成共识：**该游戏通过艺术形式精准反映了美国政府在重大灾难面前的反应迟缓和应对失当**，2020年新冠疫情中美国政府的实际表现验证了游戏的预见性，体现了“艺术源于生活”的规律。
- 在游戏与电影的先后关系上，确认了**《生化危机》先有游戏后有电影，《求生之路》先有电影后有游戏，《变形金刚》先有玩具后有动画和电影**的先后顺序。
# 未决事项与分工
- 讨论中提及《仙剑奇侠传》系列时，成员对“仙剑一、仙剑三、仙剑四”哪部最火、哪部拍了电视剧存在记忆模糊，**未达成一致结论**，有待后续确认。
- 发言人5提出“英雄联盟、DOTA、王者荣耀之间的鄙视链”话题，仅简单提及王者荣耀处于最底端，**未展开深入讨论**。
- 发言人1在讨论尾声提到“下一个字怎么自由讨论”，暗示可能有后续讨论安排，**具体议题未明确**。</t>
  </si>
  <si>
    <t># 红楼梦与金瓶梅读书讨论会纪要
## [讨论议题与背景]
小组成员围绕《红楼梦》后四十回续谈展开，进而延伸至《金瓶梅》与《水浒传》的对比讨论，涉及四大家族兴衰、官场暗线、人物命运、作品间关联等话题。讨论核心聚焦于：古典小说中的家族衰败叙事、官场权力逻辑、不同作品之间的平行与差异关系。
## [发言要点]
**关于《红楼梦》的讨论：**
- 发言人3指出《红楼梦》有一条官场暗线，即朝堂政权变化与四大家族命运紧密相连。以王熙凤为例，其前期地位高与后期结局惨，均与其兄长（娘家）在官场上的地位变化直接相关。
- 发言人4提出疑问：四大家族号称大家族，但书中登场人物似乎不多，每家也就两家人多一点，感觉没什么厉害人家。发言人3回应称薛宝钗家主要是做生意有钱，并指出**四大家族整体都在走下坡路**，呼应“王朝家族的衰败”主题。
- 发言人1补充四大家族的护官符诗句：
  - 贾家：“阿房宫三百里，住不下金陵一个史”（原文表述为“贾不贾，白玉为堂金作马”）
  - 史家：“阿房宫三百里，住不下金陵一个史”
  - 王家：“东海缺少白玉床，龙王来请金陵王”
  - 薛家：“丰年好大雪，珍珠如土，金如铁”
- 发言人4回忆小时候看红楼梦印象最深的是吃螃蟹的讲究——需要专门的工具，第一次知道吃螃蟹还有这么多讲究；还提到尼姑庵泡茶的水特别讲究。
- 发言人3提到薛宝钗的冷香丸配方极其讲究：需要雨水那一日的雨水、小雪那一日的雪，每个节气都要正好碰上；药引包括春天的白牡丹、夏天的白荷花、秋天的白芙蓉、冬天的白梅花。
- 关于薛宝钗结局，发言人3提到120回版本中她嫁给贾宝玉后，贾宝玉不久便出家，有人认为他们是无性婚姻；但后来又有说法称薛宝钗怀了一个孩子。发言人2质疑孩子是否为贾宝玉的，发言人3表示那是狗血版本，发言人1认为不至于弄这么狗血。
- 关于朝代背景，发言人4认为红楼梦是明末清初的作品，发言人3纠正称**红楼梦没有明确的朝代，是一个写得很虚的故事**，但作者是那个时代的人，映射那个时代。发言人1补充说红楼梦当时已是禁书，更不可能明说朝代。
- 发言人4提到有说法认为红楼梦演的是曹雪芹本人的经历——他以前好像是个大家族，发言人3认同说否则写不出那么多细节（如吃螃蟹的技巧、冷香丸等）。
**关于《金瓶梅》与《水浒传》的讨论：**
- 发言人1介绍《金瓶梅》的叙事起点：从武松杀西门庆这条线开始写，但武松报仇没有成功——水浒传里武松直接砍了西门庆的头，金瓶梅里西门庆得到仆人报信从楼上翻下去逃生了，之后武松被发配，故事转而展开西门庆的线。
- 发言人3总结《金瓶梅》的核心是**西门庆这样一个小人物的发展史**，展现其如何攀上官场、过得舒服，体现官场之黑。
- 发言人4提到金瓶梅里吃的也写得很好，西门庆摆宴的场面描写细致。
- 关于西门庆的结局：水浒传里是被武松砍头；金瓶梅版本里西门庆是纵欲过度而死。
- 发言人3提到西门庆有大约十个老婆，其中有的特别懦弱，潘金莲属于很有心机、比较强势的那一类。
- 发言人3还提到西门庆有一个老婆因迷信而死——生病不去治病，去看和尚，信迷信，回来后就死了；书中对佛教的描写也很黑暗，比如收灯油钱。
- 发言人2将话题引向三国东吴的“二宫之争”，提到孙权长子孙和与鲁王孙霸之争，王夫人与孙鲁班（孙权女儿）搅乱东吴政局，与潘金莲有心机的特点有相似之处。发言人1提醒时间差不多，建议另起一条继续讨论。
## [共识形成]
- 小组成员一致认为《红楼梦》的核心主题之一是**四大家族乃至王朝的整体衰败**，官场权力变化与家族命运紧密关联。
- 关于《金瓶梅》，大家形成共识：它从武松报仇失败切入，展现的是**西门庆这个小人物在官场与世俗中的发迹与堕落史**，比《水浒传》更贴近现实、更“接地气”。
- 关于作品关系，确认《金瓶梅》与《水浒传》处于同一时代背景（北宋时期），但叙事重心不同；《红楼梦》则无明确朝代，是虚写映射。
## [未决事项与分工]
- 发言人2提出《金瓶梅》中西门庆与宋江等人是否有交集的问题，未能确认，待查证。
- 发言人2询问《金瓶梅》中宰相/丞相的最终结局，发言人3表示只看了一点，发言人4表示已遗忘，待后续查阅。
- 发言人2提出《红楼梦》在历史上是否有真实对应历史事件的问题，讨论中未完全展开，可后续深入。
- 发言人1提议时间差不多，另起一条继续讨论，后续场景待开启。</t>
  </si>
  <si>
    <t># 全文摘要
本次会议为多人参与的闲聊式录音，内容涵盖多个话题。前半段主要围绕个人阅读习惯、综艺节目偏好展开，其中重点讨论了《种地吧》和《克拉克森的农场》两档农业主题综艺，涉及节目形式、录制周期、嘉宾构成及农业经营模式等细节。后半段转向个人专业背景交流，涉及俄语专业就业情况、数学与软件工程专业背景等话题。随后话题转向洗发水使用经验与头发护理。最后，会议进入下一阶段筹备，计划就日本现代化转型主题进行中英混播录制，并涉及人员分工与场地安排等事务性内容。
## 阅读与影视娱乐话题
- 发言人2表示不怎么看小说，刷短剧较多，学生时代也没有阅读小说的习惯
- 发言人1提到《红楼梦》是高中推荐读物，初读时不太能读懂，反复阅读后才体会到趣味
- 发言人2和发言人4日常以电视剧和娱乐综艺为主，较少看烧脑类内容，认为工作已足够费脑，休息时间更倾向娱乐性内容
- 发言人4偏好旅游类和户外类综艺，发言人2提到喜欢看做饭类综艺
## 《种地吧》综艺讨论
- 发言人1介绍《种地吧》节目，由十个走偶像路线的男孩子参与，大部分是搞音乐的，后来组成组合并开过演唱会
- 节目录制周期约半年，几乎24小时录制，视频素材量很大
- 十人成立了农业公司，以创业形式发展新型农业，每人实际出资作为股东
- 节目中种植了小月季和水培蔬菜等项目，有的项目盈利、有的亏损
- 农业项目门槛较高，种植月季需要请专业人员管理水和土壤，外行人难以胜任
- 个人收入主要来自综艺本身，节目内以农业主题为主，讲述农业如何盈利
- 发言人1还提到英国农业综艺《克拉克森的农场》也很好看
- 发言人4询问是否有养殖项目，发言人1回应有一个鱼塘，但没有认真经营
## 专业背景与职业交流
- 发言人2为俄语专业出身，但就业时未从事俄语相关工作，因五六年未使用已逐渐遗忘
- 发言人2提到俄罗斯人在华贸易相关信息由发言人3科普，贸易相关业务内部消化较多，对外营销较少
- 发言人1本科为数学专业，后转学统计
- 发言人4为软件工程专业，属于工科
## 头发护理与洗发水话题
- 发言人4表示洗发水换着用，目前同时囤有三种轮换使用，认为这样对头发更好
- 发言人4称此前头发容易出油，换用多种洗发水后有所改善
- 发言人4使用的洗发水品牌名称不认识，需查订单后才能告知
## 后续录制安排
- 发言人1结束当前录音后，计划去三楼找会议室
- 下一阶段计划录制中英混播内容，主题为日本现代化转型，涉及明治维新与和平宪法
- 发言人6在日本上学，被认作该话题的主场人员，但其自谦表示对相关话题了解有限
- 发言人5负责协调人员安排，涉及八爪鱼（金融相关）和原厂人员等分工，小辉负责中英混播部分，八爪鱼部分待后续录制</t>
  </si>
  <si>
    <t># 讲座概况
本次讲座围绕朝鲜半岛近现代历史展开，系统梳理了朝鲜半岛从分裂到统一再到二次分裂的历史脉络，重点聚焦1950年至1953年的朝鲜战争。主讲人详细讲述了战争的爆发背景、各方称谓差异、主要战役进程、停战协定签订及战后格局形成，并深入分析了朝鲜战争对中国国际地位的影响、朝韩两国现状差异、朝鲜国内社会状况、韩军战斗力演变等话题。在问答环节中，主讲人还就朝鲜战争的历史意义、美国对朝态度、朝韩统一可能性、图们江出海口问题、韩军表现等听众关心的问题进行了深入解答。
# 核心观点与论证
## 一、朝鲜半岛分裂的历史背景
主讲人指出，朝鲜半岛经历了从北部高丽、南部百济与新罗的分裂状态，到走向统一整合，再到第二次世界大战结束后再次分裂的曲折历程。1945年二战结束、日本投降后，美国和苏联军队分别进驻朝鲜半岛南北不同地域，双方以北纬38度为基准，形成了后来广为人知的“三八线”。
**关键背景**：1949年新中国成立后，宣布废除列强在华一切租界及特权，其中包含苏联在东北的利益，特别是苏联当时在东北建立的中长铁路以及大连、旅顺特区。中国要求收回苏联在这一地区的主权，苏联对此并不甘心，遂鼓动朝鲜进攻韩国，希望朝鲜统一朝鲜半岛后，能以仁川或釜山等类似城市替代旅顺和大连的地位，使苏联继续在亚洲发挥其影响力。
## 二、朝鲜战争的爆发与各方称谓
1950年6月，北朝鲜军队率先越过三八线向南进攻，朝鲜战争由此爆发。主讲人详细列举了各方对这场战争的不同称谓：
- 朝鲜方面称为“祖国统一解放战争”
- 中国方面称为“抗美援朝”
- 韩国称为“625事件”
- 美国及西方国家称为“朝鲜战争”
- 台湾地区称为“韩战”
## 三、战争进程与主要战役
**第一阶段：朝鲜人民军南进**。战争开始时，朝鲜人民军从三八线一路推进至洛东江环形防御圈，即今天的大邱到釜山一带。
**第二阶段：美军仁川登陆与反攻**。1950年9月15日，美军在仁川登陆成功，将深入韩国境内的朝鲜人民军分割包围、逐次歼灭，收复了整个三八线以南的韩国领土。美军以联合国军身份参战，由麦克阿瑟担任联合国军总司令，共有十六个国家共同出兵组成联合国军。麦克阿瑟试图扩大战果，将整个北朝鲜也并入囊中，此举招致中国的强烈不满——朝鲜半岛对于中国而言是“唇亡齿寒”的关系。
**第三阶段：中国志愿军参战**。在美军越过三八线的基础上，中国决定以志愿军形式出兵：
- 1950年10月19日，志愿军跨过鸭绿江
- 10月25日与韩国军队发生第一次交火
- 11月5日，志愿军与联合国军的第一次战役顺利结束
- 此后相继进行第二次战役（包括国内影视作品广泛宣传的长津湖战役）和第三次战役，志愿军越过三八线，占领汉城（今首尔）以及仁川、水原等城市，将战线扩展至三七线一带（北纬37度）
**第四阶段：拉锯与停战**。后期美军进行反攻，双方在三七线和三八线之间鏖战。第五次战役（朝鲜战争最后一次大规模战役）结束后，双方基本在三八线基础上互有攻防，形成今日朝鲜和韩国的边境线。具体而言：
- 朝鲜半岛西部：中朝方面向南占领了开城、延安半岛和瓮津半岛一带
- 朝鲜半岛东部：美军向北占领了襄阳地区和金刚山地区（金刚山现为韩国著名旅游景点）
1953年7月27日，双方正式达成停战协定，但朝韩双方只是名义上停战，并未实现真正和平。这一状态延续至今，三八线非军事区（DMZ）和金刚山成为今日韩国的著名旅游景点。
## 四、朝鲜战争的历史影响
**对中国而言**，朝鲜战争奠定了中国作为强国的地位，美国再也不敢小瞧中国。主讲人特别指出，1967年越南战争时期，中国向美国发出警告，绝对不允许越过北纬十七度线（当时南越与北越的边境线），否则中国必将出兵越南。美国在越战期间未敢越过北纬十七度线，这正是朝鲜战争奠定的威慑力。
**对美国而言**，这场战争被称为“被遗忘的战争”。联合国军最后一任司令官马克·克拉克承认，他是美国历史上第一位在未取得胜利的情况下签署停战协定的司令官。
**对朝鲜和韩国而言**，伤害最为深远——双方本是一脉相承的血肉同胞，却分裂成两个国家，三八线的悲剧延续至今。
## 五、朝鲜与韩国的现状对比
主讲人对比了两国现状：
- **韩国**：旅游体验更好，社会开放
- **朝鲜**：入境需搜手机检查，没有无线网络，仅有平壤自己的网络运营商，网络状况类似中国八九十年代的状态，手机落后、速度慢，国际漫游和网络费用昂贵。游客只能参观主体思想指导下的社会主义建设成就展示，类似中国文革时期的意识形态氛围。朝鲜普通民众无法使用电脑和5G手机，局域网使用也极为有限，无法接触外部信息。外部尤其是韩国通过韩剧作为意识形态宣传工具，这也是朝鲜严防外部信息渗透、对私藏外部宣传品者追究连带责任的原因。大量朝鲜民众（脱北者）选择逃往韩国，而鲜有韩国人前往朝鲜。
## 六、朝鲜半岛文明与历史归属
主讲人指出，朝鲜半岛文明是中华文明的衍生物，约有3500年历史，最早可追溯至商周时期。朝鲜半岛长期作为中华文化圈中中原王朝的附属国存在，直至甲午战争清朝战败后，朝鲜才彻底脱离与中国的隶属关系，成立大韩帝国，后与日本合并，二战结束后复国，又被分裂为朝鲜和韩国。
## 七、朝鲜战争爆发与分裂的根源
主讲人分析，美国和苏联都希望在朝鲜半岛建立缓冲区：美国在半岛南部单独建立韩国，是为了保护日本免遭苏联及共产主义势力影响；苏联则需要在亚洲建立卫星附属国，故在朝鲜北部扶植北朝鲜政权。最初设想是像奥地利那样在不同占领区受降后举行普选、建立统一民选政府，但美苏关系急转直下，加上双方扶植的领导人各有心思，意识形态差异最终导致两个国家的建立，这也是朝鲜战争爆发的根本缘由。
## 八、当前美国对朝鲜的态度
主讲人认为，美国因惧怕朝鲜背后的中国和俄罗斯因素，未主动进攻朝鲜或再次挑起半岛武装冲突。朝鲜战争期间，中国出动志愿军帮助朝鲜将美军打回三八线以南，苏联提供了空军掩护和武器后勤支持，中苏联手是美军止步三八线的重要原因。同时，朝鲜金家政权也担心贸然发动战争会导致政权被颠覆，因此双方维持着一种微妙的平衡。
## 九、关于朝韩统一的展望
主讲人分析，如果朝鲜战争爆发时美国没有下场救援韩国，今日朝鲜可能会成为苏联的卫星附属国，既是牵制中国的钉子，也是威胁美国在亚洲（尤其是日本）利益的不稳定因素。若朝韩统一，大概率是韩国兼并朝鲜——韩国经济影响力和综合实力占优，而北方拥有充足的优质兵源及核武器、导弹等尖端武器。主讲人以越南为例警示：越南统一后第二年即进攻柬埔寨和泰国，中国被迫于1979年发动对越自卫反击战。朝鲜半岛统一后局势将更加不可控，对整个东北亚地区而言都是一颗不稳定的定时炸弹。
## 十、中国、俄罗斯与朝鲜的关系
主讲人评价三国关系为“各怀鬼胎”，核心问题在于图们江出海口。图们江是俄罗斯与朝鲜的界江，位于日本海出海口，中朝俄边境一带的国际水域航道可以通行，但俄罗斯和朝鲜在江上建了一座小桥，大船无法通过。俄朝双方都不希望中国过分强大，不愿过多依附于中国，因此将图们江出海口封死。
## 十一、韩国军队在朝鲜战争中的表现
主讲人详细评价了韩军表现：
- 战争初期，韩军因指挥失误差点被朝鲜团灭。1950年6月25日战争爆发后，从7月10日起，朝鲜南部的地面战斗主要是美军与朝鲜人民军之间的战斗，韩军初期仅充当“冲人头”角色
- 1952年之后，美国对韩国军队重新整军训练，韩军才形成基本战斗力
- 此前韩军对美军而言类似“猪队友”，志愿军在与美军作战占不到便宜时，常从韩军战线突击，导致美军多次兵败均由韩军战线崩溃引起
- 第五次战役中，志愿军从朝鲜半岛东部韩军战线形成反包围突击，将韩军前线打崩，美军在韩国领土上撤销了韩国第三军团
**韩军的历史渊源**：韩军军官主体是二战时期日本人扶植的伪军和傀儡部队骨干，士兵则类似国民党时期抓壮丁的形式强征而来。韩军自朝鲜战争成军起一直贯彻二战时期昭和日军的武士道精神管理体制，存在关西兵、老兵欺负新兵等军队霸凌现象，延续至今，堪称旧日军部队的延伸。
## 十二、为何选择抗美援朝而非收复台湾
主讲人分析，台湾与大陆之间隔着约100公里的海峡，中共刚刚建国，没有相应海军实力。1950年朝鲜战争爆发后，美国参众两院普遍认为这是共产主义世界对自由世界的全面进攻，将台湾和韩国共同纳入美国亚太保护圈。美军陆军出兵朝鲜半岛，海军第七舰队进驻台湾，既防止解放军解放台湾，也防止国民党反攻大陆。解放军因缺乏海军实力无法进行解放台湾的战斗。
但美军越过三八线向中朝边境进发，触动了中国的敏感神经，“唇亡齿寒”的概念深入人心。即便不愿与美国爆发全面战争，又不得不进行全面战争——台湾问题已让中国很被动，朝鲜半岛既然要争取战略主动，解放军陆军当时很强，既然海上无法战斗，就在陆地上战斗。长津湖和上甘岭两场战役接连让美军惨败，至今仍是美国人挥之不去的梦魇。
# 金句总结
&gt; “朝鲜半岛对于中国的意义来说，就是一个唇亡齿寒的状态。”
这是中国决定出兵朝鲜的核心逻辑，也是理解抗美援朝决策的关键切入点。
&gt; “他是美国历史上第一次在未取得胜利的情况下签署停战协议的司令官。”
主讲人引用联合国军最后一任司令官马克·克拉克的自我评价，精准概括了朝鲜战争对美国的历史意义。
&gt; “伤害最深的其实还是朝鲜和韩国。毕竟大家都是就是一脉相承嘛，都是血肉同胞，却分裂成了两个国家，并且这样的三八线的悲剧延续至今。”
这句话点明了朝鲜战争最大的悲剧性后果——同族分裂、隔阂延续至今。
&gt; “既然海上没办法进行战斗，那就只能在陆地上进行战斗。所以说这也是后来咱们当时就是一种战斗意志的体现。”
主讲人以此解释中国选择抗美援朝而非收复台湾的战略逻辑，体现了以己之长克敌之短的军事智慧。
&gt; “各怀鬼胎。”
主讲人用四个字精辟概括了中国、俄罗斯、朝鲜三国关系的本质，直指图们江出海口问题背后各自的国家利益考量。
# Q&amp;A 环节
**问：朝鲜战争开始和结束时，韩国和朝鲜的势力有很大差别吗？这场战争的改变大吗？**
答：主要从中国的角度来说，奠定了中国强国地位，美国再也不敢小瞧中国。1967年越南战争时期，中国警告美国绝对不允许越过北纬十七度线，否则中国必将出兵越南，美国在越战中未敢越过该线。这场战争在美国被称为“被遗忘的战争”，联合国军最后一任司令官马克·克拉克承认他是美国历史上第一位在未取得胜利的情况下签署停战协定的司令官。伤害最深的还是朝鲜和韩国，本是一脉相承的血肉同胞，却分裂成两个国家，三八线的悲剧延续至今。
**问：现在越南还分南北吗？**
答：越南已经统一。美国最终放弃了南越，北越趁此机会统一了南越。
**问：现在韩国跟朝鲜哪边好玩一点？**
答：韩国更好玩。朝鲜旅游没有人身自由，入境第一件事是搜手机检查，没有无线网，只有平壤自己的网络运营商，类似中国八九十年代的状态。手机落后、速度慢，国际漫游和网络费用非常贵。参观内容主要是主体思想和社会主义辉煌建设成就，类似中国文革时期的意识形态氛围，仿佛活在异次元世界。
**问：朝鲜普通人可以上网吗？**
答：不行。普通人连局域网的使用都很有限，连电脑和5G手机都用不起。外部主要是韩国用韩剧作为意识形态宣传武器，如果老百姓知道真相会颠覆政权。这也是为什么大量朝鲜老百姓即使吃不饱肚子也往韩国跑（脱北者），而鲜有韩国人去朝鲜。
**问：朝鲜那边有啥好玩的？**
答：主要是平壤的志愿军抗美援朝功绩展览，以及开城——朝鲜半岛三千年古都，特产是人参。整个朝鲜半岛都盛产人参。
**问：朝鲜半岛南北之间的割裂有什么历史渊源？为什么它会成为两个政权？**
答：一开始美国和苏联都希望在朝鲜半岛建立缓冲区。美国在半岛南部建立韩国，是为了保护日本免遭苏联及共产主义势力影响；苏联需要在亚洲建立卫星附属国，故在朝鲜北部扶植北朝鲜政权。最初设想是像奥地利那样在不同占领区受降后举行普选、建立统一民选政府，但美苏关系恶化极快，加上双方扶植的领导人各有心思，意识形态不同最终导致两个国家的建立，这也是朝鲜战争爆发的缘由。
**问：当时美国没有打败朝鲜，现在美国对朝鲜的态度是怎样的？**
答：美国因惧怕朝鲜背后的中国和俄罗斯因素，没有主动进攻朝鲜或再次挑起半岛武装冲突。朝鲜战争期间，中国出动志愿军帮助朝鲜把美军打回三八线以南，苏联提供了空军掩护和武器后勤支持，中苏联手把美国打回三八线以南。同时，朝鲜金家政权也担心贸然发动战争会导致政权被颠覆，因此双方维持微妙平衡。
**问：如果当时没有形成冷战布局、互相争夺半岛控制权的话，大一统的朝鲜半岛会是什么形态？**
答：如果朝鲜战争爆发时美国没有下场救援韩国，今日朝鲜可能会成为苏联的卫星附属国，既是牵制中国的钉子，也是威胁美国在亚洲（尤其是日本）的不稳定因素。若朝韩统一，大概率是韩国兼并朝鲜——韩国经济影响力和综合实力占优，北方拥有充足优质兵源及核武器、导弹等尖端武器。以越南为例，越南统一后第二年就进攻柬埔寨和泰国，中国被迫于1979年发动对越自卫反击战。朝鲜半岛统一后局势将更加不可控，对整个东北亚地区都是一颗不稳定的定时炸弹。
**问：现在中国、俄罗斯和朝鲜之间的关系怎么样？**
答：各怀鬼胎。核心问题是图们江出海口。图们江是俄罗斯与朝鲜的界江，位于日本海出海口，中朝俄边境一带的国际水域航道可以通行，但俄罗斯和朝鲜在江上建了一座小桥，大船无法通过。俄朝双方都不希望中国过分强大，不想过多依附于中国，因此将图们江出海口封死。
**问：朝鲜战争中朝鲜军队和韩国军队有没有发挥什么作用？**
答：韩军初期差点被朝鲜团灭。1950年6月25日战争爆发后，从7月10日起朝鲜南部地面战斗主要是美军与朝鲜人民军之间的战斗，韩军初期仅充当“冲人头”角色。1952年之后美国对韩军重新整军训练，韩军才形成基本战斗力。此前韩军对美军而言类似“猪队友”，志愿军与美军作战占不到便宜时，常从韩军战线突击，美军多次兵败均由韩军战线崩溃引起。第五次战役中，志愿军从朝鲜半岛东部韩军战线形成反包围突击，将韩军前线打崩，美军在韩国领土上撤销了韩国第三军团。韩军军官主体是二战时期日本人扶植的伪军和傀儡部队骨干，士兵类似国民党时期抓壮丁的形式强征而来，自朝鲜战争成军起一直贯彻昭和日军的武士道精神管理体制，军队霸凌现象延续至今。
**问：1949年中国刚成立，为什么选择抗美援朝而不是收复台湾？**
答：台湾与大陆之间隔着约100公里的海峡，中共刚刚建国，没有相应海军实力。1950年朝鲜战争爆发后，美国参众两院普遍认为这是共产主义世界对自由世界的全面进攻，将台湾和韩国共同纳入美国亚太保护圈。美军陆军出兵朝鲜半岛，海军第七舰队进驻台湾，既防止解放军解放台湾，也防止国民党反攻大陆。解放军因缺乏海军实力无法进行解放台湾的战斗。但美军越过三八线向中朝边境进发，触动了中国的敏感神经，“唇亡齿寒”深入人心。即便不愿与美国爆发全面战争，又不得不进行——台湾问题已让中国很被动，朝鲜半岛既然要争取战略主动，解放军陆军很强，既然海上无法战斗，就在陆地上战斗。长津湖和上甘岭两场战役接连让美军惨败，至今仍是美国人挥之不去的梦魇。</t>
  </si>
  <si>
    <t># 对话概况
本次对话为多人闲聊场景，参与者围绕“出门必带物品”展开讨论，话题延伸至电子锁使用习惯、头发打理、胡子护理、工卡佩戴规范及北京降雨特点等生活话题。对话氛围轻松随意，参与者相互分享个人习惯与经历，并穿插幽默调侃。
# 交流内容
## 一、出门必带物品讨论
- 发言人2表示出门必带**手机、充电宝、指甲刀**，并特别说明自己使用的是多功能指甲刀，可用于刮指甲、磨手掌等。
- 发言人3提到必带**钥匙**，发言人1表示认同，称不带钥匙不行。
- 发言人2分享个人习惯：喜欢用指甲刀磨手掌、戳钥匙、磨硬币，享受在手掌中来回戳磨的感觉。
- 发言人4指出钥匙破坏性较强，倾向于将钥匙套起来或挂起来。
- 发言人1表示自家门使用**指纹锁**，因此不需要带钥匙，认为“一个手机、一个手机充电线就够了”。
- 发言人2回应称自己已使用**多年电子锁**，“没什么钥匙的概念了”，并调侃“拿指甲刀来平替钥匙”。
- 发言人2补充回忆：以前还会把**耳勺**挂在钥匙上。
- 发言人4表示一定会带**皮圈（绑头发的）**，否则头发想绑起来时无法处理。
## 二、关于长头发与绑发的讨论
- 发言人2好奇初中男生为何喜欢薅女生头发圈，表示不理解这一兴趣点。
- 发言人1回应称自己没有这种爱好。
- 发言人4表示女生也可能披肩发。
- 发言人1认为“绑的没有散头发好看”，不希望女生绑头发。
- 发言人2从自身角度分析：若自己是女生，不会绑头发，因为绑起来显得脑袋大，披着显得脑袋小。
- 发言人3补充说可以弄个刘海，两边补一点小碎发。
- 发言人1提到曾看到留长发的男生，认为像是搞艺术的。
- 发言人2分享高中时期的梦想：上大学时学民谣吉他，留长发、蓄大胡子。后来发现“留胡子不太好打理，头发更不好打理”，便打消了这个念头。
- 发言人2回忆尝试留大胡子期间，去学校报到时被误认为是新疆少数民族。
## 三、上班必带物品
- 发言人2表示上班必带三件套：**充电宝、手机、刮胡刀**。因胡子生长较快（一天能长几毫米），平均每三天需带一次刮胡刀，有时在家来不及，会在单位用电动刮胡刀对着镜子处理，否则脖子以下长满胡子会特别痒。
- 发言人5表示自己每天必带**手机、耳机和工卡**。
- 发言人2回应称耳机直接放在单位，工卡用于刷脸进门。
- 发言人1提到领夜宵需要工卡。
- 发言人2表示领完夜宵会把工卡直接扔回工位。
- 发言人3提到带**纸巾**出门。
- 发言人3提到下雨时需要带**伞**。
- 发言人2调侃充电宝“既能充电也能防身”，最好带一块砖头重量的充电宝。
- 发言人1表示不背包也不带伞，连手机都不带。
## 四、关于工卡佩戴的讨论
- 发言人1提到有人把工卡挂脖子上，调侃“太商务了”。
- 发言人2认为只有在国家政府系统或外企CBD等场景才有必要挂工卡，平时没必要。
- 发言人1联想到港片中高级警司佩戴证件的形象，并提到“字节员工要录出来”。
- 发言人5表示不录出来会有“小的惩罚”，但具体惩罚内容未明确说明。
- 发言人2调侃“这不成了剥削员工了吗”。
## 五、关于下雨季节的讨论
- 发言人1提到“秋天容易下雨”，引发发言人2好奇，认为通常应是春天容易下雨。
- 发言人4认为北京夏天更容易下雨。
- 发言人1补充说夏天容易下暴雨。
- 发言人3回忆每年下雨时园区门口都会积水，并提到同事**李博**家去年因地势低被淹。
- 发言人2据此表示“还是得远离三楼以下，住三楼以上”。
- 发言人3提到李博的家人（“那个妹子”）没买大雨险，一大早就送孩子出门。
# 共识与分歧
## 共识
- 多位参与者认同**手机**是出门必带物品。
- 发言人2与发言人1均认可**电子锁**减少了携带钥匙的需求。
- 参与者普遍认为**胡子不好打理**，发言人2的经历得到大家理解。
- 对于工卡佩戴，发言人1与发言人2均认为**日常没必要挂脖子上**。
## 分歧
- 关于出门必带物品，各人习惯不同：发言人2强调指甲刀和刮胡刀，发言人4强调皮圈，发言人5强调耳机和工卡，发言人3强调纸巾和伞。
- 关于是否绑头发，发言人1认为散头发更好看，发言人2从视觉效果角度也倾向披发，但发言人4指出绑发有实际需求（如需要固定头发时）。
- 关于北京多雨季节，发言人1认为秋天多雨，发言人4认为夏天多雨，发言人2则疑惑为何不是春天多雨，未达成一致结论。
# 后续规划
对话中未提及明确的后续行动或承诺事项。</t>
  </si>
  <si>
    <t># 讨论议题与背景
本次小组讨论围绕日常手机应用使用习惯展开，成员们依次分享了各自最常用的APP、对AI助手与浏览器使用偏好的差异、视频与音乐平台的选择，以及对于歌手和乐队的喜好等话题。讨论过程中，成员们不仅交流了个人使用习惯，还就AI工具的可信度、国内外平台的差异、音乐版权问题等展开了观点交锋。
# 发言要点
**一、最常用的手机APP**
- 发言人2：知乎、小红书、谷歌
- 发言人3：微信、抖音（短视频）、淘宝和京东（购物）
- 发言人4：微信、小红书，并提到现在不用浏览器，直接使用手机自带的"小布小布"语音助手搜索
- 发言人5：B站使用较多，也提到YouTube
- 发言人1：手机里下载了百度千问、吉米等多个AI应用
**二、关于AI助手与浏览器的使用分歧**
- 发言人3认为AI小助手更全面、回答更精准、总结性更强，因此更倾向于使用AI工具
- 发言人1提出质疑："但是你能判断他说的是对的吗？"
- 发言人2明确表示自己不太喜欢使用AI软件，因为不确定其回答是否正确，仍停留在"浏览器加地图测绘、用尺子标识"的思维模式，自嘲"大家在用GPS，我还在用纸质地图加尺子、圆规和铅笔标注"，认为自己比大家落后了一代
**三、关于视频平台与播放器的讨论**
- 发言人3提到常用腾讯视频、爱奇艺、优酷、芒果TV等播放器APP
- 发言人2抱怨广告时间太长，不愿意等待，选择直接用B站观看
- 发言人3提到现在很多APP可以通过看广告换取VIP时长
- 发言人5指出APP太多，不知道开哪个会员
- 关于YouTube，发言人4提到手机一般翻不了墙，发言人5补充称单框架手机现在连YouTube都下载不了
- 发言人1发现国内付费电视剧在YouTube上免费，发言人2回应称大平台有版权纠纷所以需要付费，但一些小网站反而不用花钱
**四、音乐APP与听歌习惯**
- 发言人5：网易云音乐使用较多，但提到单框架手机网易云不适配，目前用的是卓翼通
- 发言人2：以前用酷狗、酷我较多，现在使用一个美国音乐平台（虾扎），因为该平台有更多欧美演唱会版本的音乐，而国内网易云音乐因版权纠纷导致部分内容播不出来
- 发言人1认为该平台唱的多是小众歌手
- 听音乐场景：发言人1在上班时听，发言人4在通勤路上听，发言人2表示说不准什么时候都有
- 发言人2分享在柏林坐地铁时听音乐的代入感很强，因为地铁比较安静
**五、关于歌手与乐队的喜好**
- 发言人3提到最近刷到谢霆锋演Taylor Swift的内容，表示喜欢谢霆锋，还提到《玉蝴蝶》等老歌
- 发言人1认为五月天以前挺好，新发的歌还行，但"唱不上去了"
- 发言人2提出疑惑：Taylor Swift在自己中学时期（2010年代开头）就已经很火，后来因绯闻消沉了一段时间，为什么最近又重新火起来，而且对九零后和零零后影响都很深
- 发言人3认为Taylor Swift的演唱会很有感染力，虽然听不懂歌词但氛围特别好
- 发言人2补充了Taylor Swift的《Love Story》《Speak Now》《Back To December》等歌曲，还提到Taylor Swift曾与猫头鹰之城的亚当·杨传出绯闻，自己是从东南卫视和台湾节目中了解到的
- 发言人4表示没有很关注这段历史，但承认Taylor Swift的全球影响力确实很大
# 共识形成
- 成员们普遍认可**AI助手在回答的全面性、精准性和总结性方面优于传统浏览器搜索**，但对其回答的准确性仍存在疑虑
- 大家一致认为**视频平台广告时间过长**，这是影响观看体验的主要问题
- 成员们共同认可**Taylor Swift的全球影响力**，认为其演唱会的感染力和氛围是吸引听众的重要原因
- 关于音乐版权问题，成员们形成共识：**大平台因版权纠纷导致部分内容无法播放，而一些小网站反而没有此类限制**
# 未决事项与分工
- 关于AI工具回答的准确性如何验证，未形成明确解决方案，仅停留在观点讨论层面
- 对于Taylor Swift近期重新爆火的原因，讨论未得出明确结论，仅停留在个人感受分享层面
- 未涉及后续任务分工安排</t>
  </si>
  <si>
    <t># 讲座概况
本次讲座围绕2022年俄罗斯进攻乌克兰以来俄军在战场上的实际表现展开讨论，对比了国际社会对俄军“钢铁洪流”的传统印象与现实战场表现的巨大落差。主讲人结合自身多次赴俄罗斯旅行的经历，从俄军腐败问题、战略误判、后勤指挥短板、单兵素质与整体作战能力的反差等多个维度进行了深入剖析，并延伸探讨了乌克兰作为“欧洲之门”的地缘战略价值、欧洲对俄罗斯的“半兽人”式认知偏见，以及俄罗斯历史文化与艺术收藏等话题。讲座以多人对话讨论的形式进行，观点交锋频繁，既有严肃的军事分析，也有轻松的文化交流。
# 核心观点与论证
## 一、俄军传统印象与现实表现的巨大反差
**1. 传统印象中的俄军形象**
- 从苏联时期开始，俄军在国际认知中一直给人以“钢铁洪流”的印象，这一形象在美国、中国及西欧国家的认知中根深蒂固。
- 在各类游戏（如《战地风云》系列、《使命召唤》、《红色警戒》）和电影中，苏联/俄罗斯常被塑造为反派角色，其形象被刻画为“暴力美学的形象代言”。
- 古代有将俄军称为“灰色牲口”的说法，意指其能承受比西方国家更惨烈的伤亡代价，这种承受力是西方国家所不具备的。
**2. 2022年俄乌战争的实际表现**
- 战争爆发之初，全世界普遍认为战争天平将向俄罗斯一边倒，预期基辅会很快被占领、乌克兰会被消灭、泽连斯基会流亡。
- 然而战局发展超出所有人预期：泽连斯基不仅扛住了俄罗斯的进攻，反而将俄军从基辅打回了白俄罗斯与乌克兰的边境。
- 主讲人指出，俄军的表现与游戏和影视作品中的形象“最起码有360度的改过”。
## 二、俄军表现不佳的深层原因分析
**1. 腐败问题侵蚀军队根基**
- 主讲人指出，普京活在自己的“信息茧房”中。战前情报官员将用于策反乌克兰官员的经费全部贪污瓜分，导致策反计划完全落空。
- 俄军高层存在严重腐败，如国防部长被戏称为“总包工头”，擅长盖房子而非打仗。
**2. 战略误判与准备不足**
- 2014年俄罗斯占领克里米亚后，乌克兰上下迸发出民族仇恨，主讲人将其类比为“九一八事变”式的耻辱——一枪不发丢掉整个克里米亚，民众对政府的无能与腐败极为不满。
- 俄军基层官兵在2022年进攻前毫不知情，许多部队收到命令后以为是去演习，“演着演着就进乌克兰了”。
- 第一批进入乌克兰的俄军遭遇的是民兵的自发抵抗，而非军队的有组织进攻，导致战争从闪电战演变为持久战。
**3. 后勤与指挥体系的系统性短板**
- 主讲人总结俄军特点为“单兵素质很厉害，但总体很拉垮”，主要问题出在后勤和指挥上。
- 用“矮脚巨人”和“柯基”作比喻——腿特别短，支撑不起庞大的身躯。
- 引用名画《伏尔加河的船夫》来形容俄军的困境。
**4. 战场形态的退化**
- 俄乌战场被评价为“跟二战时候也没啥进步，多了点无人机”，双方重装备消耗殆尽后，只能隔着战壕互相扔手雷或用无人机互炸。
- 主讲人形容这种状态为“从钢铁洪流变成了最后的菜鸡互啄”。
- 俄罗斯的无人机主要依赖伊朗供应，而乌克兰则依靠北约持续输血，形成类似越战的消耗战格局。
## 三、乌克兰的地缘战略价值与欧洲的认知逻辑
**1. 乌克兰对俄罗斯的立国意义**
- 乌克兰军队的前身是苏联红军的重要组成部分，俄罗斯立国也依靠乌克兰作为其立国资本。
- 主讲人强调：没有乌克兰的俄罗斯帝国终究只会沦为边缘亚洲国家，不被欧洲待见。
**2. “欧洲之门”的战略地位**
- 乌克兰在欧洲人的认知中被称为“欧洲之门”。
- 在欧洲人的认知中，欧亚分界线在乌克兰而非乌拉尔山脉——因为白俄罗斯大部分是沼泽地，无法形成大规模运输通道走廊，因此欧洲人认为欧亚过渡地带在乌克兰。
- 欧洲人始终将俄罗斯人视为“亚洲野蛮人”，这种认知源于俄罗斯被蒙古人统治过二百年，被当成“长着欧洲人面孔的亚洲游牧民族”。
- 欧洲必须守住乌克兰，将俄罗斯挡在亚洲之外，这是欧洲自发支援乌克兰的根本原因——“唇亡齿寒”的道理。
## 四、俄罗斯历史文化与艺术收藏
**1. 圣彼得堡与冬宫的艺术价值**
- 主讲人分享多次赴俄旅行经历，推荐圣彼得堡的夏天，认为“还是不错的”。
- 冬宫（东宫）作为世界四大艺术博物馆之一，馆藏极其丰富——主讲人连续去了三次，不同区域都没逛完。
**2. 藏品来源的多元性**
- 俄罗斯作为参与全球殖民的列强之一，通过多种途径获得珍宝：
  - 以探险队名义从世界各地获取文物
  - 第二次世界大战结束后从德国运回纳粹藏品
  - 通过王室联姻获得欧洲各国的赠送品
  - 从东方掠夺了西夏王陵、敦煌等地的文物
  - 中亚斯坦国作为昔日属地，其文明遗产大量流入俄罗斯
# 金句总结
&gt; “普京飘了，他活在他自己的一个信息茧房里边。”
主讲人以此概括俄军战略失误的根源，指出情报系统的腐败与信息封闭导致了对乌克兰形势的严重误判。
&gt; “俄军单兵素质很厉害，但总体很拉垮，主要后勤和指挥上，就是矮脚巨人的感觉，像柯基一样，腿特别短，支撑不起它庞大的身子。”
以生动的比喻精准概括了俄军“强兵弱将”的结构性矛盾，成为讨论中最具画面感的总结。
&gt; “从一种钢铁洪流变成了最后的菜鸡互啄。”
高度凝练地概括了俄乌战争从闪电战预期到消耗战现实的戏剧性转变。
&gt; “没有乌克兰的俄罗斯帝国终究只是沦为边缘亚洲国家。”
点明了乌克兰对俄罗斯地缘政治身份的不可替代性，是理解俄乌冲突深层根源的关键论断。
&gt; “欧洲的边界是在乌克兰，所以说一定要守，要武装并守好乌克兰，要把俄罗斯给挡在亚洲之外。”
揭示了欧洲支援乌克兰的地缘政治逻辑，将“唇亡齿寒”的道理具象化。
# Q&amp;A 环节
**问：俄罗斯东西地域差别很大，远东地区和欧洲部分风格差异明显吗？**
答：虽然俄罗斯境内有多个共和国，但总的来说还是以俄罗斯族为主。这类似于美国西进运动，俄罗斯通过东扩不断淘金移民，逐步形成了今天的民族格局。
**问：去俄罗斯旅游是否可行？会不会影响后续办理其他国家的签证？**
答：俄罗斯是可以去旅游的，但需要注意——离开俄罗斯后，签证记录可能会影响后续办理美国签证。主讲人分享亲身经历：曾因多次前往俄罗斯，在入境美国时被边境官员拦下盘问，差点被怀疑是间谍。此外，在华为等企业工作的人员本身赴美也会受到限制。</t>
  </si>
  <si>
    <t># [讲座概况]
本次讨论围绕电影《南京照相馆》展开，以南京大屠杀这一历史事件为核心，从电影印象、历史背景、真实与虚构元素的辨析、相关纪念场馆的参观体验等多个维度进行了深入交流。主讲人详细梳理了从1931年九一八事变到1937年南京沦陷的历史脉络，分析了日军在南京实施暴行的多重原因，并澄清了电影中艺术虚构与历史真实的界限，最后介绍了南京大屠杀相关历史遗迹的纪念与参观现状。
# [核心观点与论证]
**一、电影《南京照相馆》的观影印象**
参与者对影片的观感存在差异：有人通过短视频平台观看片段，认为“看着还行”；有人评价其为灾难电影，“最后老弱妇孺还活着”；有人觉得“挺深刻的”“还挺好看的”；也有人因题材过于沉重而选择不看，表示“这个题材我不太习惯”“连片段我都没看过”。看过电影的参与者特别提到“他们在那个地下室好几个人，然后待在那个地下室吃喝、睡觉”的场景，印象较为深刻。
**二、南京大屠杀的历史背景**
主讲人系统梳理了南京沦陷的历史脉络：
- `1937年8月13日`，国民党军队在上海与日军激战（八一三淞沪抗战），这是自九一八事变以来中国军队第一次真正意义上的大规模抗击。此前日军无论是占领东北还是华北，都处于“兵不血刃”的状态，未遭遇成规模抵抗。
- 淞沪会战极为惨烈，国军因各方面实力原因从上海撤退后，日军一路追击至南京。由于长达四个月的战场厮杀，日军“已经杀红眼了”，加之缺乏军纪约束，最终导致南京大屠杀的发生。
**三、日军暴行的深层原因分析**
主讲人从多个维度剖析了日军在南京实施大屠杀的原因：
1. **心理层面**：日军自九一八事变以来未遭遇像样的大规模抵抗，淞沪会战使其“遭受了一种前所未有的侮辱”，并产生战场应激创伤反应。
2. **历史传统**：日本自古有攻破敌方城镇后“屠城”以进行狂欢与麻痹的传统，士兵抱着“兴许活不到战争结束”的心态，趁活着的时候放纵自己。
3. **体制压迫**：日本军队从上到下奉行高压武士道精神，存在欺凌与霸凌的文化，士兵更想寻找宣泄口来发泄。
**四、关键历史人物与指挥变更**
主讲人介绍了日军指挥层的变动及其对南京局势的直接影响：
- 原指挥官`松井石根`是老牌皇道派军人，对中国较了解，曾接连发布命令，要求避免日军在上海至南京沿线烧杀抢掠，认为此举会招致中国军民反感、增强抵抗意志。
- 松井石根因生病被临时替换，继任者为裕仁亲王的叔叔`朝香宫鸠彦亲王`。此人是日本国内盛行的“脱亚入欧”思想的狂热追随者，认为除日本外亚洲国家都是低贱的。
- 朝香宫鸠彦上任后发布的第一道命令即为“不留俘虏”，导致日军“格杀无论”，随后暴行蔓延至平民群体，最终酿成南京大屠杀。
**五、电影中真实与虚构的辨析**
主讲人明确指出：
- 电影中的主要人物是虚构的，但照片的拍摄是真实的，且并非以电影所描述的方式进行。
- 真实历史中，拍摄日军暴行照片的是`两位美国传教士`。同时期，有一位负责为日本人冲洗照片的中国后期技术人员，无意间发现了日军拍摄的暴行照片（在日本国内属于禁文），偷偷拷贝并藏匿起来，抗战结束后将其递交给国民政府军事法庭，作为审判日本战犯的证据。
- 电影中主角与日本军官建立友谊的情节属于虚构，历史上并无此对应关系。
**六、电影中真实的历史细节**
- 电影开头`中华门城墙的战斗`是真实历史细节。
- `挹江门`撤退惨案：当时中国军队和平民撤退时，宪兵未让守挹江门的部队撤出，因该部队未收到撤退命令，双方信息差最终导致惨案发生。
- 电影尾声关于审判的情节也是真实的：打进南京的几支部队的主犯，如`谷寿夫`（第六师团师团长）及其他南京大屠杀主犯（基层日军军官），最终被枪决。
**七、历史纪念场馆的参观现状**
参与者分享了各地纪念馆的参观经历：
- 沈阳`伪满洲国博物馆`：上午去时人还不多，下午整个广场全是排队的人，必须预约。
- 唐山大地震纪念馆：参观人数众多，参与者感慨“现在国人对这一块还挺关注的”。
- 上海抗战纪念场馆（淞沪会战相关、四行仓库等）：即使下大雨，馆内也全是人，大人小孩都很多，宣传做得很好。
- 南京大屠杀纪念馆：预约非常困难，“好难抢”“抢都抢不到”。有参与者多年前去过，当时还比较容易。
# [金句总结]
&gt; “在战场上长达四个月的状态，已经杀红眼了，可以说是战争底下那种人性的泯灭。”
主讲人以此概括日军在淞沪会战后进入南京时的精神状态，点明战争对人性的摧毁是南京大屠杀发生的重要背景。
&gt; “从上到下那种高压武士道的精神，欺凌与霸凌的背景之下，更想找一种宣泄口这种方式来发泄。”
主讲人剖析了日军内部体制性暴力如何向外转移，成为暴行蔓延的结构性原因。
&gt; “我兴许活不到战争结束，那我就趁着我还活着的时候，我对自己进行一种放纵。”
主讲人引用日军士兵的潜在心态，解释屠城行为背后的心理机制。
# [Q&amp;A 环节]
**问：电影里面虚构的和真实的分别是什么？主角和日本军官建立友谊的情节是真实的吗？**
**答：** 电影里的主要人物是虚构的，但照片的拍摄是真实的，只是不是以电影里描述的方式进行的。真实历史中，是两个美国传教士拍摄了日军暴行照片；同时有一位负责给日本人冲洗照片的中国后期人员，偷偷拷贝了日军拍摄的暴行照片，抗战后递交给了国民政府军事法庭作为审判战犯的证据。主角与日本军官建立友谊的情节是虚构的。
**问：现在好多日本人还不承认南京大屠杀这件事，怎么看待？**
**答：** 确实存在这样的情况。电影中真实的历史细节包括中华门城墙战斗、挹江门撤退惨案，以及尾声部分对谷寿夫等主犯的审判和枪决，这些都是有史料支撑的客观事实。</t>
  </si>
  <si>
    <t># 日本国家概况与印象讨论会
## [讨论议题与背景]
本次小组讨论围绕日本这一国家展开，探讨其历史渊源、文化特征、社会制度变迁以及当代印象。讨论从日本在中国人心中"复杂"的形象切入——一方面因历史战争原因存在民族情感上的纠葛，另一方面日本又是中国重要的外部投资来源和主要贸易伙伴，同时其服务业和购物体验在国际上享有盛誉。与会者就日本文化的具体内涵、三次重大社会转型、天皇制度演变、当代消费文化等话题进行了自由交流。
## [发言要点]
**发言人1（主要引导者）** ：
- 指出日本文化缺乏原创性，属于外来接收后的本土化改造，并梳理了日本三次重大社会转型：**古代大化改新时期**（大规模向中国和朝鲜半岛学习，在吴越文化基础上本土化转型，形成和服、制茶、漆器等传统印象）、**近代明治维新时期**（对标清朝，积极向欧美列强学习，吸收英国和德国的法度制度）、**二战后和平宪法转型时期**（美国占领下社会结构大规模调整，积极向美国看齐，形成当代动漫、二次元、汽车工业和铁道工业等印象）。
- 阐述日本天皇制度的特殊性：天皇在古代各地封建领主眼中更接近"吉祥物"般的存在，类似东汉末年及战国时期的天子，被以精神层面供奉以控制百姓。**1945年二战结束后**，美军统帅麦克阿瑟进驻日本，公开要求天皇在媒体和众人面前露面，让平民知晓"天皇既是真人而非神灵"的真相，从精神上打破固有认知，推动社会转型。
- 介绍当代天皇制度现状：天皇及皇室成员不能参与政治和国家事务，仅作为象征性存在，政治由国会和内阁选出首相执政。并对比指出英国国王因同时是英联邦国家名义元首，存在感强于日本天皇。
- 补充其他君主立宪制国家：英国、西班牙、泰国等均有皇室，教皇属于宗教领域而非国家体制。
- 介绍日本中古店（二手奢侈品商店）的产业起源：因**广场协议**后日本泡沫经济一夜崩溃，大量上班族失业后寄卖原先购买的高档大衣、西装、皮具等奢侈品，催生了这一产业。上海也有许多此类商店，可买到LV、Burberry、古奇等上个世纪知名大牌。
- 分享个人对日本的偏好：喜欢登山（爬富士山）、逛古城和博物馆，提及镰仓（Kamakura）、京都（Kyoto）、名古屋等城市，认为镰仓夏天气候舒适。
**发言人2**：
- 表示此前对日本持喜欢态度，读研期间曾上过日本文化相关课程，学习过漆艺、茶艺等内容。
- 阅读老舍小说《四世同堂》后，认为民族仇恨还是应该有一定影响。
- 提出一种评论观点：日本民族性格的形成与其岛国地理环境有关——气候不稳定，农业发展可能因海啸等自然灾害毁于一旦，因此民族性格容易走向极端。
- 对日本民众当前是否仍对天皇存在崇拜提出疑问。
**观点交锋**：
- 发言人1与发言人2就日本文化具体指哪个历史阶段展开对话，发言人2认为日本既有传统文化也有当代文化艺术，发言人1则强调这些文化均源自唐朝吴越文化基础上的本土化转型。
- 关于天皇崇拜问题，发言人2质疑民众是否已无崇拜，发言人1明确回答已不存在，类比英国和西班牙的君主立宪制状态。
## [共识形成]
- 与会者一致认为日本文化是东西方文化融合的产物，经历了"古代学中国、近代学欧美、二战后学美国"的路径，属于"取其精华"式的本土化改造。
- 共同确认日本当代天皇已无实权，仅作为国家象征存在，政治由国会和内阁主导。
- 在旅游与消费话题上，形成以下共识：**日本购物体验优秀**，女性偏好购买化妆品、护肤品、奢侈品（含中古店二手大牌），男性则倾向购买手办、玩具（如数码宝贝、铁甲小宝的合金版模型）；东京秋叶原是动漫周边的重要发源地；日本巧克力被认为优于国内。
## [未决事项与分工]
- 讨论中提及日本文化影响深远，但未就"如何在正视历史的同时理性看待日本文化输入"这一话题深入展开，可留待后续探讨。
- 发言人1在讨论中穿插了英文对话练习环节（如询问大家对日本城市的看法、天皇的英文表达等），属于即兴互动，无明确后续任务分工。</t>
  </si>
  <si>
    <t># 讨论议题与背景
本次小组讨论围绕中国古典文学名著展开，从《西游记》延伸至《三国演义》与《红楼梦》。讨论的核心内容包括：对三国历史与演义的个人印象、各阵营的偏好与评价、正史与演义之间的差异、东吴与蜀汉内部政治斗争，以及《红楼梦》的版本问题、人物命运判词与结局解读。讨论以自由发言、轮流分享的形式进行，成员之间既有观点交锋，也有知识互补。
# 发言要点
## 一、关于《三国演义》的讨论
**1. 对三国的整体印象与阅读体验**
- 发言人2表示《三国》未看完，看到诸葛亮去世后便不再继续阅读，认为诸葛亮去世后故事基本已进行到八九成，后续内容缺乏吸引力。
- 发言人1补充了正史视角的后续脉络：姜维北伐、孙权晚年二宫之争导致东吴朝廷大乱、邓艾偷渡阴平、姜维反间计失败、刘禅投降、西晋灭吴。
**2. 印象最深刻的章节**
- 发言人2认为赤壁之战印象最深，并指出三国前期比后期更有意思。
**3. 阵营偏好**
- 发言人2表示受《三国演义》影响，更倾向于蜀汉阵营，认为刘备属于白手起家。
**4. 对刘备的评价与正史分析**
- 发言人1提出：刘备贸然称汉中王在封建礼治时期有不妥之处，引发连锁反应——孙权决裂、吕蒙白衣渡江、刘备伐吴失败（夷陵惨败）。
- 发言人1详细梳理了借荆州之争的历史脉络：孙权仅要求刘备归还部分地区，刘备不乐意，孙权派兵强夺荆南三郡，后因曹操攻取汉中威胁西川，刘备回师并与孙权签订湘水划界（湘水之盟）。此背景对应演义中“关云长单刀赴会”，正史实为鲁肃与关羽各自不带兵士、在中立区谈判，被罗贯中美化为关羽只身赴险。
- 发言人1指出刘备此举将孙刘联盟的信任消耗殆尽，此后孙权攻合肥不下，转而偷袭荆州、袭击关羽。
**5. 对白衣渡江的评价**
- 发言人2认为白衣渡江开了个坏头，伪装成商人作战在古代打仗中属于突破底线的行为，口碑不好。
- 发言人1补充：吕蒙因白衣渡江偷袭盟友，后世将其与“小偷鼠辈”画等号。
**6. 对东吴大都督命运的分析**
- 发言人2提到对陆逊的印象主要来自“火烧连营”和三国杀游戏，并指出东吴后期政治斗争严重，大都督们结局都不太好。
- 发言人1补充正史记载：周瑜被曹仁射毒箭阵亡，鲁肃因瘟疫病故，吕蒙病故，陆逊在二宫之争时因责备孙权不应让两个儿子争斗而被孙权活活逼死。
**7. 蜀汉内部问题**
- 发言人2指出蜀汉也存在内斗。
- 发言人1分析：刘禅自知能力不足，完全放权给诸葛亮；诸葛亮去世后，姜维作为魏国降将缺乏说服力，刘禅轻信黄皓谗言，姜维难以力挽狂澜。
- 关于魏延：发言人1指出正史中魏延并无谋反之心，只是不甘心大军撤退，烧毁悬崖栈道，若非姜维断后挡住司马懿军队，后果不堪设想。魏延虽无反心，但行为与谋反无实质区别，根源是与杨仪的个人矛盾上升至国家与军队层面。
**8. 三顾茅庐与隆中对**
- 发言人5概述：刘备在中原屡战屡败，深感缺乏谋士，经人推荐得知隆中诸葛亮有卧龙之才，携关羽、张飞三次前往拜访，前两次未遇，第三次终于见到，诸葛亮被其打动，提出隆中对战略（联合孙权），最终同意辅佐刘备。
- 发言人1补充隆中对的核心内容：横跨荆益、外结好孙权、西抚夷越，趁魏国变动时北伐。但白衣渡江后蜀汉失去荆州全境，“横跨荆益”已不成立，与“外结好孙权”形成矛盾。诸葛亮北伐目标转向关中平原和陇西（今陕西、甘肃南部），希望纵跨凉益以图中原。第一次北伐因马谡兵败街亭而破产，此后北伐更多是绝望中的抗争，旨在拖延魏国灭亡蜀汉的时间。
## 二、关于《红楼梦》的讨论
**1. 阅读视角与版本问题**
- 发言人4指出《红楼梦》有多种解读角度，女生多将其当作爱情小说看，核心是贾宝玉、薛宝钗和林黛玉的爱情故事。
- 发言人3和发言人2确认：原著只写了前八十回，后四十回为他人续写，存在不同版本说法（如反清复明等）。
- 发言人4分享阅读体验：第一次读高鹗续写版本时觉得合理，年纪小不知道后四十回非同一作者；反复读前八十回后再接触续写，发现林黛玉性格变化很大，贾宝玉对林黛玉的态度也有差异。
- 发言人2认为前八十回已有悲剧走向，开篇词赋等已暗示结局。
**2. 判词与人物命运**
- 发言人3指出第五回贾宝玉梦游太虚幻境已通过判词形式交代结局。
- 发言人4补充：判词并未点明具体结局，如探春、史湘云的结局都是猜测，最终谁与贾宝玉在一起也无定论。
- 发言人5提问悲剧原因，提到贾宝玉与林黛玉真心相爱却被迫娶薛宝钗。
- 发言人4澄清：林黛玉之死是后四十回内容，非原作所写，但原作意图肯定是悲剧。
**3. 晴雯与袭人的象征意义**
- 发言人4指出晴雯性格像林黛玉，袭人性格像薛宝钗，晴雯是林黛玉的“替身”。
- 发言人4特别强调：晴雯之死是曹雪芹亲笔所写，映照了后续林黛玉的命运。
**4. 政治解读与相关轶事**
- 发言人2提到有解读认为林黛玉代表明朝、薛宝钗代表清朝。
- 发言人4补充有人解读秦可卿为前朝公主。
- 发言人2和发言人3提到北京植物园（樱桃沟）附近有曹雪芹小道和故居相关遗迹。
# 共识形成
- 关于《三国演义》：小组成员普遍认同**诸葛亮去世后故事吸引力大幅下降**，前期（如赤壁之战）比后期更有意思；受演义影响，多数成员更倾向蜀汉阵营。
- 关于白衣渡江：小组成员一致认为**吕蒙白衣渡江开了恶劣先例**，突破古代战争道德底线，导致吕蒙后世口碑不佳。
- 关于东吴大都督：小组成员形成共识——**东吴几位大都督（周瑜、鲁肃、吕蒙、陆逊）均未得善终**，与东吴后期严重的政治内斗密切相关。
- 关于《红楼梦》版本：小组成员确认**前八十回为曹雪芹原作，后四十回为高鹗续写**，续写虽大体合理但在人物性格和细节上与原作存在差异。
- 关于《红楼梦》结局：小组成员认同**前八十回已通过判词等形式暗示悲剧走向**，曹雪芹原意必然是悲剧结局。
# 未决事项与分工
- 《红楼梦》中探春、史湘云等人物判词的具体指向与最终结局仍存在多种解读，**尚未形成统一结论**。
- 关于林黛玉与薛宝钗分别代表明清两朝的政治解读，仅作为观点提及，**未深入展开讨论**。
- 小组讨论中提及北京植物园附近有曹雪芹小道及故居遗迹，**未确认具体位置与参观计划**。
- 讨论结束时发言人1提议继续下一个话题，**具体话题尚未确定**。</t>
  </si>
  <si>
    <t># 讨论议题与背景
本次小组讨论围绕三国时期的经典战役与武将能力展开，核心议题包括：赤壁之战的影响与南北军事差异、孙权多次北伐合肥失败的原因（“张八百大破孙十万”典故）、夷陵之战火烧连营的经过，以及对关羽、张飞、张辽等武将军事才能的评价。讨论以历史事实为基础，穿插民间段子与后世评价，成员间相互补充、质疑，形成了较为完整的观点交锋。
# 发言要点
**关于赤壁之战与南北军事差异**
发言人1提出赤壁之战的核心影响在于暴露了南北军队的作战差异：曹操军队以虎豹骑等骑兵为主，擅长陆战，刚收服荆州后没有像样的水军，面对长江天险如同“渡海攻坚战”，无法发挥优势；东吴军队擅长水战，但在陆地上无法与曹军骑兵抗衡。这一差异在后续合肥之战中再次体现——吴军擅长划船、摇橹、游泳，上岸后面对曹军虎豹骑毫无应对之策，双方僵持不下。
**关于孙权北伐合肥与“孙十万”典故**
发言人1详细梳理了合肥的战略地位：合肥如钉子般钉在东吴北伐路线上，孙权从建业（今南京）出发，过长江到江北，经巢湖上岸，必须打下合肥才能靠近淮河继续北进。孙权一生致力于攻打合肥，但始终未能攻克。最著名的是公元215年合肥之战，曹军主力正在进攻汉中，合肥仅有张辽、李典、乐进三员大将镇守，且三人之间因张辽出身吕布部下而存在矛盾。然而张辽率800死士骑马冲锋，大败孙权优势兵力，由此产生“张八百大破孙十万”的段子。发言人1还补充了细节：张辽冲阵时吴军未及反应，张辽等人不认识孙权，战后询问俘虏才得知那个“骑马骑得好、射箭射得准、上身长下身短、留小胡子”的人就是孙权，后悔差点没抓住他。此后合肥城内“张辽跺两脚，小孩不敢啼哭”。发言人1还提到，后人去南京紫金山孙权墓（确切位置已不可考，仅立碑示意）时，在碑前堆满了张辽的卡片和海报。
发言人2表示，小时候看“生子当如孙仲谋”觉得孙权厉害，长大后观感反转，认为孙权打仗确实不行。发言人3补充，孙权在张辽之前还打过一场仗，率几万人被对方几千人追着打，但具体对手名字记不清（非刘表、非张辽，可能早于赤壁之战时期）。
**关于夷陵之战火烧连营**
发言人1讲述：刘备因体恤下属，不忍士兵在酷暑中受折磨，令士兵在密林扎营以避暑，但被陆逊抓住秋季干燥、树叶飘落的时机，在“秋老虎”时期放火，连营七百里的蜀军营地被一把火烧尽，刘备只身逃回白帝城。发言人2提及陆逊与孙家是否有仇的疑问，发言人1回应陆逊是“江东四杰”之一，并解释孙策因“小霸王”作风过于冒失而被刺杀，曹操说“生子当如孙仲谋”是因为孙权虽开疆拓土能力不足，但能守住家业，比曹操自己的儿子争气。
**关于武将能力评价**
发言人3认为刘备至少汉中之战打得不错，而孙权打仗确实不行。发言人1补充，夷陵之战是刘备被仇恨冲昏头脑、冒进所致，汉中之战有法正和黄权辅佐，靠地势地利把曹操耗出汉中。发言人1认为关羽很厉害，水淹七军之外，还在阵中斩将（斩颜良、诛文丑），是历史上第一个通过“斩首行动”直接改变战场局势的人。发言人3认可关羽斩首的独特性，认为黄忠阵斩夏侯渊与关羽的情况不同（关羽是双方摆好阵势后斩将，黄忠可能是从山上冲下来）。关于张飞，发言人3只知长坂坡，发言人1补充演义中张飞与马超在成都城下大战五百回合。发言人3提到五子良将中的张辽，发言人1列举五子良将包括张辽、曹仁、夏侯渊、张郃、徐晃、于禁（后被关羽生擒），认为曹操“血厚人多耗得起”。
**关于街亭之战与诸葛亮北伐**
发言人1提出假设：若诸葛亮第一次北伐时用魏延守街亭，大概率能反杀张郃，不会像马谡那样轻易丢掉街亭，北伐第一次可能就成功了。发言人1认为魏延的想法大胆，但不符合蜀汉当时的实际支撑。发言人3回应“这地盘太小了”，认同蜀汉国力有限的观点。
# 共识形成
- **南北军事差异是赤壁之战与合肥之战共同的核心矛盾**：曹军骑兵无法打水战，吴军水军无法打陆战，双方各自受限于作战环境，形成长期僵持。
- **孙权军事能力确实偏弱**：成员一致认可“孙十万”的调侃并非空穴来风，孙权一生未能攻克合肥，多次以优势兵力败于劣势敌军，与其父兄（孙坚、孙策）的勇武形成反差。
- **关羽阵中斩将具有独特军事价值**：成员认可关羽作为历史上首个通过阵前斩将直接改变战局的人，其军事能力值得肯定。
- **蜀汉北伐受限于国力**：成员认同蜀汉地盘太小、国力不足是北伐难以成功的根本制约，魏延守街亭的假设虽有趣但缺乏现实支撑。
# 未决事项与分工
- 发言人3提到的孙权早期被某位将领以少胜多击败的战役，具体对手姓名未能确认（非刘表、非张辽，可能早于赤壁之战），**有待后续查证**。
- 关于陆逊与孙家是否存在历史恩怨的问题，仅提及陆逊为“江东四杰”之一，**未深入展开，可留待下次讨论**。
- 张飞除长坂坡外的经典战役，除演义中与马超大战五百回合外，**未达成一致结论，可进一步探讨**。</t>
  </si>
  <si>
    <t># 讲座概况
本次讲座围绕1979年至1989年的苏联入侵阿富汗战争（史称"苏阿战争"）展开，系统梳理了阿富汗的地理战略位置、战前国内政治格局、苏联出兵的历史背景与军事行动过程、阿富汗抵抗力量的构成与战术，以及战争最终以苏联撤军告终的深层原因。讲座还结合冷战时期苏攻美守的国际格局，分析了阿富汗被称为"帝国坟场"的地理与政治根源，并在问答环节就阿富汗的战略价值、资源状况、圣战者概念、游击战术及中国援助等话题进行了深入讨论。
---
# 核心观点与论证
## 一、阿富汗的地理位置与战略价值
阿富汗位于亚洲中部，东接中国，北邻塔吉克斯坦，南接巴基斯坦，西邻伊朗，被称为"亚洲的中间走廊地带"，是名副其实的兵家必争之地。主讲人强调：**谁控制了阿富汗，谁就控制住了亚洲的咽喉**。这一地理位置决定了阿富汗在历史上屡遭列强觊觎。
然而，阿富汗国土纵深90%为高原山地地带，是天然的游击战地区，易守难攻。历史上大英帝国入侵后曾被阿富汗反推回巴基斯坦地区，阿富汗由此获得"帝国坟场"的称号。
## 二、战前阿富汗的政治格局
20世纪50年代，阿富汗同时与苏联及西方国家保持友好交往，实行以君主立宪制为基准模板的政治制度。其国内精英阶层和知识界奉行亲英与亲苏并行的两头政策：
- 文化上积极向英国靠拢，借鉴英国的议会制度、君主立宪制度及大学现代科学办学模式
- 国家建设和工业方面向苏联看齐
基辛格曾评价当时的阿富汗国王阿明："用的是苏联的火柴点美国的香烟"，即两边同时索要好处，获得"墙头草"的称号。
## 三、苏联出兵的原因与过程
### 出兵动因
阿明对苏联日益干涉其内政表示不满，并过度导向美国一方，引发苏联领导层强烈不满。从苏联角度看，若阿富汗脱离其掌控倒向美国，将使苏联中亚地区陷入非常被动的状态。此外，结合当时冷战"苏攻美守"的格局，苏联正咄咄逼人地进行意识形态扩张和军事霸权恐吓。根据勃列日涅夫的逻辑，苏联大家庭不允许任何一个成员外出，如同此前出兵捷克一样，阿富汗是苏联必须下场的战略要地。
### 军事行动过程
1979年12月24日平安夜，苏联趁阿富汗高层及军队被苏联先前释放的"清散信号"麻痹之际，以"阿富汗请求苏联救援"为说法，以兵变政变形式强行派兵突入阿富汗。苏军从东部、中部及西部（即今天的阿富汗相邻的塔吉克斯坦和土库曼斯坦方向）分路推进，一个晚上彻底控制了首都喀布尔政府高层，处决了阿明一家，扶植苏联代理人卡尔迈勒上台，将阿富汗重新纳入苏联阵营，使其成为苏联的傀儡政权。
## 四、国际反应与阿富汗抵抗力量
苏联的军事入侵招致众多阿拉伯国家、中国及西方盟国的共同不满与抵触，各方合力对阿富汗进行援助。阿富汗众多伊斯兰狂热圣战者不甘领土被占领，各方达成默契：由阿富汗和穆斯林国家出动兵源，中国和西方盟国出动武器与情报资源，共同支持阿富汗抵抗组织与苏联展开长达十年的游击战争。
### 圣战者的含义
圣战者指具有狂烈激进的伊斯兰圣战思想、经过从上到下宗教式洗脑的武装人员。其战斗意志如同二战时期日本军国主义荼毒下的日本军民一样，抱着同归于尽的思想进行圣战。
### 阿富汗难以征服的深层原因
阿富汗除喀布尔和坎大哈等主要城市外，90%的地区实行乡村部落长老制，政府对这些地区没有任何控制力，各村落与部落各自为政。任何列强及阿富汗城市政府都无法对广大高原山地地区形成有力控制，这为游击战提供了天然土壤。
## 五、苏联战败撤军的原因
1. **装备失效**：苏联的重装部队（坦克、步兵战车）主要适用于平原地带，在高原山地无法形成有效战斗力，需以步兵加武装直升机配合。美国援助的`毒刺`防空导弹（类似火箭筒的单兵武器）有效压制了苏联最先进的`雌鹿`武装直升机。
2. **战术受制**：中国向阿富汗圣战抵抗者传授抗战时期的`地道战`、`地雷战`等游击战法，使苏军陷入人民战争的汪洋大海。
3. **士气低落**：苏联基层官兵普遍厌战，不明白为何要在此地战斗，苏军士气一落千丈。
最终，苏联于1989年从阿富汗撤军，战争以苏联的战略性失误告终。
---
# 金句总结
&gt; "谁控制了阿富汗，谁就控制住了亚洲的咽喉。"
主讲人以此概括阿富汗的核心战略价值，解释了为何各大列强均对阿富汗抱有觊觎之心，是理解整场战争地缘逻辑的关键切入点。
&gt; "它是用的苏联的火柴在点的美国的香烟。"
引用基辛格对阿富汗国王阿明的评价，生动刻画了阿富汗在冷战夹缝中左右逢源、两头索要好处的"墙头草"外交姿态，也点明了苏联最终无法容忍其倒向美国的直接动因。
&gt; "阿富汗多次获得其帝国坟场的称号。"
以此概括阿富汗的地理条件与历史命运之间的关联——90%的高原山地地形使其成为天然的游击战地区，任何外部强权都难以在此实现有效控制。
---
# Q&amp;A 环节
**问：阿富汗到底有啥好？为啥都想打它？**
答：主要是地理位置的原因，谁控制了阿富汗，谁就控制住了亚洲的咽喉。
**问：是不是阿富汗有石油啊？**
答：阿富汗本身相对来说是个贫油国，但它周边的国家都是富油国，比如西边的伊朗，北边的土库曼斯坦和塔吉克斯坦。
**问：为什么阿富汗这么难打？**
答：这个国家90%都是高原山地地带，是天然的游击战地区。除喀布尔和坎大哈等主要城市外，大部分地区都是乡村部落长老制，政府没有任何控制力，各村落与部落各自为政，导致任何列强及城市政府都无法对广大高原山地形成有力控制。
**问：圣战者是什么意思？**
答：指具有狂烈激进的伊斯兰圣战思想、经过宗教式洗脑的武装人员，抱着同归于尽的思想进行圣战，战斗意志极强。
**问：中国具体提供了哪些援助？是否派人参战？**
答：中国提供了与AK-47同型号的`五六式冲锋枪`和`五六式半自动步枪`等武器援助，同时派出专家教授地道战、地雷战等游击战法，但未直接派兵参战。此举既稀释了国内已饱和的军工业产能，也与西方盟国达成了抵抗苏联霸权的默契。</t>
  </si>
  <si>
    <t># 讨论议题与背景
本次小组讨论围绕各国文学作品的比较展开，从日本作家东野圭吾的《白夜行》切入，延伸至法国、英国、俄国、美国及中国文学的特点对比，并深入探讨了文学作品中反映的社会现实、底层民众生活、历史事件等议题。讨论过程中，成员们还涉及了《西游记》中狮驼岭章节的深刻寓意、西藏历史问题以及相关影视作品改编等话题。
# 发言要点
## 一、关于日本文学
- 发言人1提到《白夜行》的阅读体验：叙事手法新颖，开篇信息隐藏，让人不断猜测，每个人都有嫌疑，但结局非常阴暗。
- 发言人2引用美国作家本尼迪克特的《菊与刀》，指出《白夜行》体现了日本人的性格特点。
## 二、关于法国文学
- 发言人2提到雨果的《悲惨世界》，认为其体现了浪漫的理想主义精神和奉献精神。
- 发言人1认为法国文学的特点是"爱革命、有抗争精神"。
- 发言人4指出法国小说相比英国小说，描绘底层民众的更多，而英国小说多描写贵族生活。
- 发言人1补充提到《双城记》虽是英国作家所写，但讲述的是法国大革命时期的故事（雅各宾派时期）。
## 三、关于俄国文学
- 发言人2提到契诃夫的作品（《变色龙》《装在套子里的人》《凡卡》），以及索尔仁尼琴的《古拉格群岛》，认为该书深刻批判了人性黑暗面，并指出《古拉格群岛》最早出版的是法语版，俄语版要等到苏联解体后才发行。
- 发言人2还提到格罗斯曼——苏联红军战地记者，著有《生存与命运》，从普通平民视角描写红军进入欧洲后的真实形象。
- 发言人1表示苏联时期作家虽多，但自己看得很少，接触较多的是高尔基。
- 发言人2认为高尔基的《海燕》体现了被压迫民众走投无路后的奋起反抗。
## 四、关于英国文学
- 发言人1提到查尔斯·狄更斯的《圣诞欢歌》《雾都孤儿》等作品，认为其描写了贵族与穷人之间的鸿沟，穷人将希望寄托于宗教或虚无的事物上。
- 发言人2进一步分析，认为这也是后期英国土地承载不了人口膨胀、许多人自发移民北美新大陆的根本原因。
## 五、关于美国文学
- 发言人2提到马克·吐温、海明威的作品，认为美国历史较短，叙事风格不同于欧洲，更多表现在现代社会层面，与欧洲的理想主义精神图腾有所不同。
- 发言人1提到《了不起的盖茨比》，认为美洲大陆没有经历欧亚大陆那么多的悲惨事件，相对更幸福。
- 发言人2补充认为北美大平原农业资源广阔，美国永远不缺粮食，因此美国人无法真正理解饥荒为何物。
## 六、关于中国文学与历史
- 发言人1指出国内写底层的小说其实写得挺深刻，但受政策因素影响，很多作品和改编电影无法公开传播，例如《平凡的世界》。
- 发言人2提到台湾电影《假如我是真的》（上世纪七十年代末、八十年代初拍摄），该片结合了俄国果戈里《钦差大臣》的故事背景，反映了知青上山下乡时期的真实事件，是当时台湾与大陆舆论宣传战、意识形态攻防的产物。
- 发言人2提到电影《一九四二》讲述大饥荒与战乱，并指出当时日本人给灾民发放粮食，而国民党对灾区漠视，导致日本人占领河南省大部地区；部分民众为换取粮食给日军送情报，这是人性的利用。
## 七、关于《西游记》狮驼岭章节
- 发言人2详细解读了狮驼岭章节：灵山脚下约500公里处，佛门三大圣兽（青狮、白象、大鹏）下界作妖，将城池所有人吃掉后让小妖冒充国民，整个国家尸骸遍地。原著描写了人皮地毯、骷髅头骨装饰等惨状，与佛门"普度众生、众生平等"的理念大相径庭。
- 发言人2认为吴承恩在古代就已批判揭露了佛教在某些地区被上层王公大臣用来迷惑底层民众、进行高压奴役统治的本质，并以此联系旧社会西藏的状况，指出汉传佛教与藏传佛教存在根本不同。
- 发言人1提到《黑神话：悟空》游戏未设计狮驼岭章节，认为该章节过于血腥、不好过审，且意义深刻，既要委婉又要表现深刻很难。
- 发言人2指出大鹏精是《西游记》全剧中唯一能"遛猴子"（打败孙悟空）的反派角色，若非佛祖出手，孙悟空终将被大鹏精打败。
# 共识形成
- 成员们普遍认同各国文学反映了各自社会的历史与现实：法国文学体现抗争精神与理想主义，俄国文学对人性丑恶的揭露与批判更为讽刺深刻，英国文学反映阶级鸿沟，美国文学因历史短暂而缺乏对饥荒等深层苦难的理解。
- 关于《西游记》狮驼岭章节，成员们达成共识：该章节具有极其深刻的批判意义，揭示了宗教名义下的残酷统治现实，但因过于血腥和敏感，在影视改编和游戏设计中难以完整呈现。
- 成员们一致认为，底层民众的苦难与反抗是各国文学共通的重要主题。
# 未决事项与分工
- 发言人2推荐了格罗斯曼的《生存与命运》，建议有兴趣的成员从普通平民视角了解苏联红军基层的真实形象，后续可进一步讨论。
- 关于《西游记》狮驼岭章节的深刻寓意及其与西藏历史问题的关联，讨论中提及但未深入展开，可作为后续话题。
- 讨论结束时，发言人3提示"差不多了，停一下，然后咱们练一下"，暗示讨论时间结束，将转入其他活动环节。</t>
  </si>
  <si>
    <t># 全文摘要
本次会议围绕手机图库项目的整体进展、技术优化、排期对齐及风险应对展开，重点讨论了智能分类与相册推荐改版、AI识别模型性能优化、缩略图渲染卡顿修复、云同步模块稳定性、时间轴加载速度优化、隐私相册入口调整及AI修图功能预留等议题。会议明确了各项工作的优先级、责任人和时间节点，确定月底封版、下周三发布内测包，并部署了周四性能压测评审的准备工作。
## 产品侧进展与交互优化
- 智能分类和相册推荐改版已完成高保真原型V1.5版，调整了网格视图交互逻辑，优化了长按手势的微动效反馈
- 测试反馈部分低端机上滑列表存在掉帧问题，拟通过降低预览图缩放级别换取帧率稳定
- 用户调研反馈“隐私相册”入口过深，决定将入口提升至首部顶部二级菜单，由产品经理出交互方案供评审
- 运营提出在下个版本增加“AI修图”快捷入口（一键去背景、智能调色等），本次迭代不硬性排入，但在PRD中预留接口逻辑和UI占位，开发侧将模块抽象为插件化架构，便于后续迭代接入
## 开发侧技术实现与性能优化
- 后端AI智能标签V2版识别模型已部署，准确率较上一代提升约88%，但因新增视频帧提取功能，单次请求耗时从800毫秒增至约1.5秒
- 针对识别耗时问题，确定采用本地缓存策略：首次识别较慢，后续本地读库实现秒出，通过新增SQLite缓存层实现，预计三天完成联调；同时评估端侧轻量级预过滤方案，先过滤GIF或截图等非目标内容，再走云端全量识别，预计可压缩约一半耗时
- 端侧预过滤需新增约200MB本地缓存空间，采用按需加载方式，用户首次进入智能标签功能时触发下载，预计两天完成接入
- 缩略图渲染优化方面，通过将JPEG硬解切换为软解，内存占用降低约30%，但CPU占用有所上升；已在主流三款机型完成灰度测试，帧率稳定在60帧，低端机约50帧
- 批量删除照片时若同时触发回收站重建索引，数据库偶发锁死，已采用消息队列排队处理的临时规避方案，正式修复排入V1.2迭代
- 云同步模块在弱网环境下出现状态机紊乱，同步队列积压超1000张时部分机型出现OOM崩溃，已采用分片加载机制（每次拉取50张），但会拖慢整体同步进度；后台静默同步权限申请审核较严，暂不推进，维持分片加载方案
## 时间轴加载优化与资源协调
- 时间轴视图滑动至历史老照片时存在卡死三秒以上的问题，根因是历史图片EXIF解析耗时过长及磁盘IO瓶颈
- 解决方案为增加本地索引预加载，对最近三个月的照片建立树状结构，滑到底部时动态加载旧数据
- 预加载逻辑与云同步模块无资源冲突，预加载放主线程IO池，同步放子线程后台服务
- 预加载需用户授权“媒体”和“存储”权限，若首次拒绝需设计引导弹窗，产品侧将出柔和提示风格方案
## 排期与后续行动项
- 项目里程碑维持原计划，月底封版；内测包暂定下周三发布，将建立体验官群重点测试AI分类和同步模块
- 周四进行性能压测评审，性能报告当晚出初稿，iOS和安卓对比数据分开列示并合并为一份总览
- 开发2评估管线重构精确工作量，当日下班前提交；开发1排定模型部署和端侧预过滤联调时间，力争周五前跑通主干流程
- 非核心UI微调优先级后移，资源倾斜至管线重构和AI标签优化
- 产品侧下午完成隐私相册入口和引导弹窗稿定稿，次日与UI走查，同步完成AI修图占位图设计
- 开发1与数据库组对齐索引策略，优化建表方案，确保联调不受影响</t>
  </si>
  <si>
    <t># 全文摘要
本次月度营销研讨会于下午14:00至14:40召开，由营销总监主持，销售组长、销冠及销售A、销售B等核心成员参会。会议围绕上月销售数据复盘、转化率下降原因分析及下月业绩目标分解展开。上月案场总到访320组，环比增长15%，成交76套，转化率23%，较上月下降4个百分点；渠道带看占比65%，自然来访仅35%，蓄客量约3200组，认购到成交流失率约18%。会议识别出客户流失的两大核心抗性——价格预期落差与交付信心不足，并针对性地制定了工地开放日标准化、逼定权益可视化、渠道带看实名制、周末业主答谢会联动去化、专项培训与销控纪律等五项核心举措。下月集团下达去化目标120套，较上月增长约58%，已按人员配置分解至各小组。会议明确了各项任务的负责人与时间节点，要求散会后半小时内下发会议纪要与任务分解表。
## 上月业绩复盘与核心问题诊断
- 上月案场总到访320组，环比增长15%，到访量达标；成交76套，转化率23%，较上月27%下降4个百分点，转化环节存在明显短板
- 渠道带看占比65%，自然来访仅35%，自主拓客能力与案场拦截能力呈退化趋势
- 蓄客量约3200组，认购到成交流失率约18%，客户在最后逼定环节流失严重
- 客户流失集中于两大抗性：一是价格预期落差，竞品普遍推出特价房、首付分期、送物业费等促销手段；二是交付信心不足，客户对园林选材、地下车库层高、外墙保温层等工程细节存疑，担心买错
## 一线实战经验与转化提升策略
- 销冠分享“算总账”逼定法：不直接降价，而是将物业费、车位管理费、装修损耗等长期费用拉表对比竞品，向客户说明单价虽高但十年综合成本更优，配合“限时权益”逼定函制造稀缺感，该手法上月助力个人成交19套
- 销售B提出权益具象化思路：将三年物业费缴费明细打印置于合同旁，让客户直观感知权益价值；同时指出案场物料更新滞后，逼定函仍为上个月版本，影响逼定效果
- 销售A建议工地开放日增加频次，其成交的改善型客户正是通过实地考察工程透明度才最终下定
- 销售组长反馈工地开放日流程繁琐，报备审批耗时半天，建议设立固定开放节点
## 下月目标分解与重点行动部署
- 下月集团下达去化指标120套，较上月实际成交增长约58%
- 目标拆分：销冠个人目标28套；销售组长、销售A、销售B三人小组目标合计50套；剩余12套作为机动及渠道攻坚储备
- 工地开放日标准化：定于每周三下午固定开放，提前两天在CRM系统向意向客户推送预告，客户到访直接对接专属顾问，简化报备审批流程
- 渠道带看质量管控：自下月起实行带看实名登记，须标注明确需求标签，无效带看将扣减渠道积分；渠道部沟通由总监负责协调
- 周末业主答谢会：以“老业主专属品鉴宴”名义举办，规避“促销”字眼降低客户抵触心理；销售B主抓流程，销售A负责客户邀约与逼定记录，销冠带人现场协助，重点联动改善型高意向客户集中去化
- 老带新激励升级：成功推荐一套奖励两万现金或等值车位券，另定制高端茶叶礼盒、保温杯等伴手礼支持；拟推出“业主推荐官”活动，推荐成功可升级物业服务等级，含优先预约维修、免费家政清洗等软性权益
- 逼定环节服务前置：财务与法务人员在洽谈区待命，周六日轮流值班，实现现场签约、当场出数出收据，预计可提升成交率至少两成
- 专项培训安排：本周开展两次专项演练，主题分别为“竞品对比与抗性化解”和“逼定时机与谈判心理学”，全员必须参加，课后现场抽考，考核结果挂钩下周绩效系数
- 销控纪律整顿：CRM系统实时同步锁房，推售房源须在群内报备，设置专人每小时刷新销控大屏；再出现因销控不同步导致丢单或客诉的，直接问责
## 客户跟进与回访安排
- 销售组长带领销售A、销售B对上周未成交的300余组客户进行回访，重点跟进表态“再考虑考虑”的犹豫客户
- 销冠对名下20余组高意向客户进行梳理，计划周末集中逼定
- 销售B推进老带新业务，目前已有4组推荐、2组在谈，需提前准备推荐话术与礼品支持</t>
  </si>
  <si>
    <t># 全文摘要
本次会议主要围绕ASR模型迭代进度、线上推理延迟优化及长音频解码卡死问题展开。会议明确了流式RNN-T与Transformer混合架构的模型优化方向，确定了2秒静态分段加流式解码的推理方案，讨论了VAD阈值消融实验、长序列解码卡死热修复、前端32k采样率升级、监控面板搭建及CI自动评估流水线建设等多项工作，并明确了各项任务的责任人、时间节点和资源协调安排。
## 数据与模型训练进展
- 混合语料库数据清洗流水线已完成第二轮迭代，长尾噪音、极端口音和背景人声重叠片段已做分流处理，有效语音时长占比从89%提升至94%左右
- 重新校对了CTC的blank token分布，发现多音字和连读场景的切分点存在偏差，计划用新基准开展一轮消融实验
- 验证集WER较此前下降约0.8个百分点，但低资源语言混合的边界场景下识别结果仍存在边界切分毛刺，中英文切换时模型容易吞掉过渡音或出现重复解码
- 计划将全纯Transformer架构更换为流式RNN-T与Transformer混合架构，先在20小时核心数据上开展训练
- 数据增强策略已加入时间偏移，但对背景白噪声和混响的鲁棒性仍不足，计划引入MixUp和Cut进行迭代
## 推理侧优化方案
- 动态Batching调度逻辑在长短音频混排时存在首字延迟波动问题，波动范围在150ms至300ms之间
- 计划改为静态分段加流式解码的组合方案：音频按2秒切块，前端做VAD预过滤，后端用RNN-T增量解码，首字延迟可控制在80ms以内，整体吞吐量可稳定在120路并发
- VAD预过滤阈值目前设定为-25dB，采用能量和谱熵双模型判断，计划下周拉取线上流量回放做端到端对比
- 需平衡VAD误切率和漏切率，阈值过高会切掉轻声尾音导致识别缺字，阈值过低会产生多余切分增加无效推理
## 长序列解码卡死问题
- 线上出现用户输入超长连续且带方言口音的音频时，解码器陷入无效循环导致服务器节点重启的问题
- 当前解码器默认最大token数为2048，超时时间为5秒，部分音频解码序列长度超过阈值后未做优雅降级，直接报OOM
- 根因是RNN-T的attention权重持续震荡未收敛
- 解决方案：增加early stopping机制，结合置信度阈值和连续低概率token判断，连续30步置信度低于0.2时强制截断并返回当前序列，预计可解决90%以上的卡死问题
- 同步完善超时熔断和降级返回逻辑，热修复版本计划周四提测
## 资源与基础设施
- 组长协调下周一划拨三块A100 GPU用于增量训练，需注意与NLP组项目错峰使用调度面板
- RNN-T的prefix LM缓存计划做INT8量化，配合动态缓存释放策略，预计可压降30%左右显存占用，压力测试日志和截图将于明天下午发布
- 计划搭建Prometheus和Grafana监控面板，将QPS、延迟、显存利用率、解码步数、VAD误切率等指标可视化，告警分P0和P1两级：P0为服务不可用或延迟超500ms，P1为显存超85%或WER突增
- 计划用GitLab CI搭建自动评估流水线，代码合入后自动触发数据拉取、模型加载、测试集解码和结果对比，WER未下降或RTF超标则自动打回，预计三天内落地V1版本
## 前端采样率升级事项
- 前端SDK当前音频采样率为16k，新模型为32k输入，若前端不升级，上采样会引入高频伪影影响识别率
- 前端团队排期推至下月，组长将拉产品和技术总监推动插队处理
- 备选方案为服务端增加实时重采样模块做兼容，但会增加CPU开销
- 先行方案：编写轻量级重采样插件，用libresample实测CPU占用和延迟影响，CPU开销控制在5%以内再提交方案决策
## 组长总结与任务分工
- 流式RNN-T混合架构和2秒切分方案由A和B分头推进，本周五前出详细设计和压测数据
- VAD阈值消融报告和长序列解码卡死热修复方案由B负责，周四前完成，A配合长序列数据配比和评估流水线对接
- 前端32k采样率升级对比文档和重采样插件实测由B负责，组长拉会推进
- 监控面板和CI自动评估流水线本周内定稿，开始对接运维和测试环境
- 流式架构切换不能影响现有非流式离线批处理，双线并行，测试用例需覆盖全面
- 稳定性优先于精度，专业术语后续通过词表扩展和热词注入解决，下周先出热修复版本上灰度</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</si>
</sst>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quot;秒&quot;"/>
  </numFmts>
  <fonts count="7" x14ac:knownFonts="1">
    <font>
      <sz val="11"/>
      <color theme="1"/>
      <name val="宋体"/>
      <charset val="134"/>
      <scheme val="minor"/>
    </font>
    <font>
      <sz val="10"/>
      <color rgb="FF000000"/>
      <name val="微软雅黑"/>
      <family val="2"/>
      <charset val="134"/>
    </font>
    <font>
      <sz val="11"/>
      <color rgb="FF000000"/>
      <name val="宋体"/>
      <family val="3"/>
      <charset val="134"/>
    </font>
    <font>
      <sz val="10"/>
      <color theme="1"/>
      <name val="微软雅黑"/>
      <family val="2"/>
      <charset val="134"/>
    </font>
    <font>
      <sz val="9"/>
      <name val="宋体"/>
      <family val="3"/>
      <charset val="134"/>
      <scheme val="minor"/>
    </font>
    <font>
      <sz val="11"/>
      <color theme="1"/>
      <name val="宋体"/>
      <family val="3"/>
      <charset val="134"/>
      <scheme val="minor"/>
    </font>
    <font>
      <sz val="11"/>
      <color theme="1"/>
      <name val="Segoe UI Emoji"/>
      <family val="2"/>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lignment vertical="center"/>
    </xf>
  </cellStyleXfs>
  <cellXfs count="13">
    <xf numFmtId="0" fontId="0" fillId="0" borderId="0" xfId="0">
      <alignment vertical="center"/>
    </xf>
    <xf numFmtId="0" fontId="2" fillId="0" borderId="0" xfId="0" applyFont="1">
      <alignment vertical="center"/>
    </xf>
    <xf numFmtId="0" fontId="1" fillId="0" borderId="1" xfId="0" applyFont="1" applyBorder="1" applyAlignment="1">
      <alignment horizontal="left" vertical="center" wrapText="1"/>
    </xf>
    <xf numFmtId="10" fontId="0" fillId="0" borderId="0" xfId="0" applyNumberFormat="1">
      <alignment vertical="center"/>
    </xf>
    <xf numFmtId="0" fontId="3" fillId="0" borderId="0" xfId="0" applyFont="1" applyAlignment="1">
      <alignment vertical="center" wrapText="1"/>
    </xf>
    <xf numFmtId="0" fontId="3" fillId="0" borderId="0" xfId="0" applyFont="1" applyAlignment="1">
      <alignment vertical="top" wrapText="1"/>
    </xf>
    <xf numFmtId="0" fontId="1" fillId="0" borderId="1" xfId="0" applyFont="1" applyBorder="1" applyAlignment="1">
      <alignment horizontal="left" vertical="top" wrapText="1"/>
    </xf>
    <xf numFmtId="0" fontId="1" fillId="0" borderId="1" xfId="0" applyFont="1" applyBorder="1" applyAlignment="1">
      <alignment vertical="top" wrapText="1"/>
    </xf>
    <xf numFmtId="0" fontId="0" fillId="0" borderId="0" xfId="0" applyAlignment="1"/>
    <xf numFmtId="176" fontId="0" fillId="0" borderId="0" xfId="0" applyNumberFormat="1" applyAlignment="1"/>
    <xf numFmtId="0" fontId="2" fillId="0" borderId="0" xfId="0" applyFont="1" applyAlignment="1">
      <alignment horizontal="center" vertical="center"/>
    </xf>
    <xf numFmtId="0" fontId="0" fillId="0" borderId="0" xfId="0">
      <alignment vertical="center"/>
    </xf>
    <xf numFmtId="0" fontId="0" fillId="0" borderId="0" xfId="0" applyAlignment="1">
      <alignment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56"/>
  <sheetViews>
    <sheetView tabSelected="1" workbookViewId="0">
      <pane xSplit="1" ySplit="2" topLeftCell="B33" activePane="bottomRight" state="frozen"/>
      <selection pane="topRight"/>
      <selection pane="bottomLeft"/>
      <selection pane="bottomRight" activeCell="C2" sqref="C2:C56"/>
    </sheetView>
  </sheetViews>
  <sheetFormatPr defaultColWidth="9" defaultRowHeight="13.5" customHeight="1" x14ac:dyDescent="0.25"/>
  <cols>
    <col min="1" max="1" width="55.36328125" style="5" customWidth="1"/>
    <col min="2" max="2" width="56.08984375" style="5" customWidth="1"/>
    <col min="3" max="3" width="9" style="4" customWidth="1"/>
    <col min="4" max="16384" width="9" style="4"/>
  </cols>
  <sheetData>
    <row r="1" spans="1:5" ht="13.5" customHeight="1" x14ac:dyDescent="0.25">
      <c r="A1" s="5" t="s">
        <v>0</v>
      </c>
      <c r="B1" s="5" t="s">
        <v>1</v>
      </c>
      <c r="C1" t="s">
        <v>2</v>
      </c>
      <c r="D1" t="s">
        <v>3</v>
      </c>
      <c r="E1" t="s">
        <v>4</v>
      </c>
    </row>
    <row r="2" spans="1:5" ht="13.5" customHeight="1" x14ac:dyDescent="0.25">
      <c r="A2" s="6" t="s">
        <v>5</v>
      </c>
      <c r="B2" s="2" t="s">
        <v>6</v>
      </c>
      <c r="C2" s="12" t="s">
        <v>118</v>
      </c>
      <c r="D2" s="9">
        <v>43</v>
      </c>
      <c r="E2" t="s">
        <v>7</v>
      </c>
    </row>
    <row r="3" spans="1:5" ht="13.5" customHeight="1" x14ac:dyDescent="0.25">
      <c r="A3" s="6" t="s">
        <v>8</v>
      </c>
      <c r="B3" s="2" t="s">
        <v>9</v>
      </c>
      <c r="C3" s="8" t="s">
        <v>119</v>
      </c>
      <c r="D3" s="9">
        <v>90</v>
      </c>
      <c r="E3" t="s">
        <v>10</v>
      </c>
    </row>
    <row r="4" spans="1:5" ht="13.5" customHeight="1" x14ac:dyDescent="0.25">
      <c r="A4" s="6" t="s">
        <v>11</v>
      </c>
      <c r="B4" s="2" t="s">
        <v>12</v>
      </c>
      <c r="C4" s="8" t="s">
        <v>120</v>
      </c>
      <c r="D4" s="9">
        <v>89.1</v>
      </c>
      <c r="E4" t="s">
        <v>13</v>
      </c>
    </row>
    <row r="5" spans="1:5" ht="13.5" customHeight="1" x14ac:dyDescent="0.25">
      <c r="A5" s="6" t="s">
        <v>14</v>
      </c>
      <c r="B5" s="2" t="s">
        <v>15</v>
      </c>
      <c r="C5" s="8" t="s">
        <v>121</v>
      </c>
      <c r="D5" s="9">
        <v>68.3</v>
      </c>
      <c r="E5" t="s">
        <v>16</v>
      </c>
    </row>
    <row r="6" spans="1:5" ht="13.5" customHeight="1" x14ac:dyDescent="0.25">
      <c r="A6" s="6" t="s">
        <v>17</v>
      </c>
      <c r="B6" s="2" t="s">
        <v>18</v>
      </c>
      <c r="C6" s="8" t="s">
        <v>122</v>
      </c>
      <c r="D6" s="9">
        <v>90.9</v>
      </c>
      <c r="E6" t="s">
        <v>19</v>
      </c>
    </row>
    <row r="7" spans="1:5" ht="13.5" customHeight="1" x14ac:dyDescent="0.25">
      <c r="A7" s="6" t="s">
        <v>20</v>
      </c>
      <c r="B7" s="2" t="s">
        <v>21</v>
      </c>
      <c r="C7" s="8" t="s">
        <v>123</v>
      </c>
      <c r="D7" s="9">
        <v>84.7</v>
      </c>
      <c r="E7" t="s">
        <v>22</v>
      </c>
    </row>
    <row r="8" spans="1:5" ht="13.5" customHeight="1" x14ac:dyDescent="0.25">
      <c r="A8" s="6" t="s">
        <v>23</v>
      </c>
      <c r="B8" s="2" t="s">
        <v>24</v>
      </c>
      <c r="C8" s="8" t="s">
        <v>124</v>
      </c>
      <c r="D8" s="9">
        <v>62.7</v>
      </c>
      <c r="E8" t="s">
        <v>25</v>
      </c>
    </row>
    <row r="9" spans="1:5" ht="13.5" customHeight="1" x14ac:dyDescent="0.25">
      <c r="A9" s="6" t="s">
        <v>26</v>
      </c>
      <c r="B9" s="2" t="s">
        <v>6</v>
      </c>
      <c r="C9" s="8" t="s">
        <v>125</v>
      </c>
      <c r="D9" s="9">
        <v>100.4</v>
      </c>
      <c r="E9" t="s">
        <v>27</v>
      </c>
    </row>
    <row r="10" spans="1:5" ht="13.5" customHeight="1" x14ac:dyDescent="0.25">
      <c r="A10" s="6" t="s">
        <v>28</v>
      </c>
      <c r="B10" s="2" t="s">
        <v>29</v>
      </c>
      <c r="C10" s="12" t="s">
        <v>126</v>
      </c>
      <c r="D10" s="9">
        <v>50.9</v>
      </c>
      <c r="E10" t="s">
        <v>30</v>
      </c>
    </row>
    <row r="11" spans="1:5" ht="13.5" customHeight="1" x14ac:dyDescent="0.25">
      <c r="A11" s="6" t="s">
        <v>31</v>
      </c>
      <c r="B11" s="2" t="s">
        <v>15</v>
      </c>
      <c r="C11" s="8" t="s">
        <v>127</v>
      </c>
      <c r="D11" s="9">
        <v>70.599999999999994</v>
      </c>
      <c r="E11" t="s">
        <v>32</v>
      </c>
    </row>
    <row r="12" spans="1:5" ht="13.5" customHeight="1" x14ac:dyDescent="0.25">
      <c r="A12" s="6" t="s">
        <v>33</v>
      </c>
      <c r="B12" s="2" t="s">
        <v>29</v>
      </c>
      <c r="C12" s="8" t="s">
        <v>128</v>
      </c>
      <c r="D12" s="9">
        <v>80.599999999999994</v>
      </c>
      <c r="E12" t="s">
        <v>34</v>
      </c>
    </row>
    <row r="13" spans="1:5" ht="13.5" customHeight="1" x14ac:dyDescent="0.25">
      <c r="A13" s="6" t="s">
        <v>35</v>
      </c>
      <c r="B13" s="2" t="s">
        <v>29</v>
      </c>
      <c r="C13" s="8" t="s">
        <v>129</v>
      </c>
      <c r="D13" s="9">
        <v>82.8</v>
      </c>
      <c r="E13" t="s">
        <v>36</v>
      </c>
    </row>
    <row r="14" spans="1:5" ht="13.5" customHeight="1" x14ac:dyDescent="0.25">
      <c r="A14" s="6" t="s">
        <v>37</v>
      </c>
      <c r="B14" s="2" t="s">
        <v>38</v>
      </c>
      <c r="C14" s="8" t="s">
        <v>130</v>
      </c>
      <c r="D14" s="9">
        <v>33.9</v>
      </c>
      <c r="E14" t="s">
        <v>39</v>
      </c>
    </row>
    <row r="15" spans="1:5" ht="13.5" customHeight="1" x14ac:dyDescent="0.25">
      <c r="A15" s="6" t="s">
        <v>40</v>
      </c>
      <c r="B15" s="2" t="s">
        <v>38</v>
      </c>
      <c r="C15" s="8" t="s">
        <v>131</v>
      </c>
      <c r="D15" s="9">
        <v>43.9</v>
      </c>
      <c r="E15" t="s">
        <v>41</v>
      </c>
    </row>
    <row r="16" spans="1:5" ht="13.5" customHeight="1" x14ac:dyDescent="0.25">
      <c r="A16" s="6" t="s">
        <v>42</v>
      </c>
      <c r="B16" s="2" t="s">
        <v>43</v>
      </c>
      <c r="C16" s="8" t="s">
        <v>132</v>
      </c>
      <c r="D16" s="9">
        <v>71.3</v>
      </c>
      <c r="E16" t="s">
        <v>44</v>
      </c>
    </row>
    <row r="17" spans="1:5" ht="13.5" customHeight="1" x14ac:dyDescent="0.25">
      <c r="A17" s="6" t="s">
        <v>45</v>
      </c>
      <c r="B17" s="2" t="s">
        <v>46</v>
      </c>
      <c r="C17" s="8" t="s">
        <v>133</v>
      </c>
      <c r="D17" s="9">
        <v>51.9</v>
      </c>
      <c r="E17" t="s">
        <v>47</v>
      </c>
    </row>
    <row r="18" spans="1:5" ht="13.5" customHeight="1" x14ac:dyDescent="0.25">
      <c r="A18" s="6" t="s">
        <v>48</v>
      </c>
      <c r="B18" s="2" t="s">
        <v>21</v>
      </c>
      <c r="C18" s="8" t="s">
        <v>134</v>
      </c>
      <c r="D18" s="9">
        <v>73.400000000000006</v>
      </c>
      <c r="E18" t="s">
        <v>49</v>
      </c>
    </row>
    <row r="19" spans="1:5" ht="13.5" customHeight="1" x14ac:dyDescent="0.25">
      <c r="A19" s="6" t="s">
        <v>50</v>
      </c>
      <c r="B19" s="2" t="s">
        <v>51</v>
      </c>
      <c r="C19" s="8" t="s">
        <v>135</v>
      </c>
      <c r="D19" s="9">
        <v>60.4</v>
      </c>
      <c r="E19" t="s">
        <v>52</v>
      </c>
    </row>
    <row r="20" spans="1:5" ht="13.5" customHeight="1" x14ac:dyDescent="0.25">
      <c r="A20" s="6" t="s">
        <v>53</v>
      </c>
      <c r="B20" s="2" t="s">
        <v>54</v>
      </c>
      <c r="C20" s="8" t="s">
        <v>136</v>
      </c>
      <c r="D20" s="9">
        <v>39.299999999999997</v>
      </c>
      <c r="E20" t="s">
        <v>55</v>
      </c>
    </row>
    <row r="21" spans="1:5" ht="13.5" customHeight="1" x14ac:dyDescent="0.25">
      <c r="A21" s="6" t="s">
        <v>56</v>
      </c>
      <c r="B21" s="2" t="s">
        <v>57</v>
      </c>
      <c r="C21" s="8" t="s">
        <v>137</v>
      </c>
      <c r="D21" s="9">
        <v>44.2</v>
      </c>
      <c r="E21" t="s">
        <v>58</v>
      </c>
    </row>
    <row r="22" spans="1:5" ht="13.5" customHeight="1" x14ac:dyDescent="0.25">
      <c r="A22" s="6" t="s">
        <v>59</v>
      </c>
      <c r="B22" s="2" t="s">
        <v>60</v>
      </c>
      <c r="C22" s="8" t="s">
        <v>138</v>
      </c>
      <c r="D22" s="9">
        <v>55.3</v>
      </c>
      <c r="E22" t="s">
        <v>61</v>
      </c>
    </row>
    <row r="23" spans="1:5" ht="13.5" customHeight="1" x14ac:dyDescent="0.25">
      <c r="A23" s="6" t="s">
        <v>62</v>
      </c>
      <c r="B23" s="2" t="s">
        <v>63</v>
      </c>
      <c r="C23" s="8" t="s">
        <v>139</v>
      </c>
      <c r="D23" s="9">
        <v>29.6</v>
      </c>
      <c r="E23" t="s">
        <v>64</v>
      </c>
    </row>
    <row r="24" spans="1:5" ht="13.5" customHeight="1" x14ac:dyDescent="0.25">
      <c r="A24" s="6" t="s">
        <v>65</v>
      </c>
      <c r="B24" s="2" t="s">
        <v>46</v>
      </c>
      <c r="C24" s="8" t="s">
        <v>140</v>
      </c>
      <c r="D24" s="9">
        <v>48.4</v>
      </c>
      <c r="E24" t="s">
        <v>66</v>
      </c>
    </row>
    <row r="25" spans="1:5" ht="13.5" customHeight="1" x14ac:dyDescent="0.25">
      <c r="A25" s="6" t="s">
        <v>67</v>
      </c>
      <c r="B25" s="2" t="s">
        <v>68</v>
      </c>
      <c r="C25" s="8" t="s">
        <v>141</v>
      </c>
      <c r="D25" s="9">
        <v>199.6</v>
      </c>
      <c r="E25" t="s">
        <v>69</v>
      </c>
    </row>
    <row r="26" spans="1:5" ht="13.5" customHeight="1" x14ac:dyDescent="0.25">
      <c r="A26" s="6" t="s">
        <v>70</v>
      </c>
      <c r="B26" s="2" t="s">
        <v>71</v>
      </c>
      <c r="C26" s="8" t="s">
        <v>142</v>
      </c>
    </row>
    <row r="27" spans="1:5" ht="13.5" customHeight="1" x14ac:dyDescent="0.25">
      <c r="A27" s="6" t="s">
        <v>72</v>
      </c>
      <c r="B27" s="2" t="s">
        <v>46</v>
      </c>
      <c r="C27" s="8" t="s">
        <v>143</v>
      </c>
    </row>
    <row r="28" spans="1:5" ht="13.5" customHeight="1" x14ac:dyDescent="0.25">
      <c r="A28" s="6" t="s">
        <v>73</v>
      </c>
      <c r="B28" s="2" t="s">
        <v>74</v>
      </c>
      <c r="C28" s="8" t="s">
        <v>144</v>
      </c>
    </row>
    <row r="29" spans="1:5" ht="13.5" customHeight="1" x14ac:dyDescent="0.25">
      <c r="A29" s="6" t="s">
        <v>75</v>
      </c>
      <c r="B29" s="2" t="s">
        <v>15</v>
      </c>
      <c r="C29" s="8" t="s">
        <v>145</v>
      </c>
    </row>
    <row r="30" spans="1:5" ht="13.5" customHeight="1" x14ac:dyDescent="0.25">
      <c r="A30" s="6" t="s">
        <v>76</v>
      </c>
      <c r="B30" s="2" t="s">
        <v>77</v>
      </c>
      <c r="C30" s="8" t="s">
        <v>146</v>
      </c>
    </row>
    <row r="31" spans="1:5" ht="13.5" customHeight="1" x14ac:dyDescent="0.25">
      <c r="A31" s="6" t="s">
        <v>78</v>
      </c>
      <c r="B31" s="2" t="s">
        <v>9</v>
      </c>
      <c r="C31" s="8" t="s">
        <v>147</v>
      </c>
    </row>
    <row r="32" spans="1:5" ht="13.5" customHeight="1" x14ac:dyDescent="0.25">
      <c r="A32" s="6" t="s">
        <v>79</v>
      </c>
      <c r="B32" s="2" t="s">
        <v>29</v>
      </c>
      <c r="C32" s="8" t="s">
        <v>148</v>
      </c>
    </row>
    <row r="33" spans="1:3" ht="13.5" customHeight="1" x14ac:dyDescent="0.25">
      <c r="A33" s="6" t="s">
        <v>80</v>
      </c>
      <c r="B33" s="2" t="s">
        <v>77</v>
      </c>
      <c r="C33" s="8" t="s">
        <v>149</v>
      </c>
    </row>
    <row r="34" spans="1:3" ht="13.5" customHeight="1" x14ac:dyDescent="0.25">
      <c r="A34" s="6" t="s">
        <v>81</v>
      </c>
      <c r="B34" s="2" t="s">
        <v>15</v>
      </c>
      <c r="C34" s="8" t="s">
        <v>150</v>
      </c>
    </row>
    <row r="35" spans="1:3" ht="13.5" customHeight="1" x14ac:dyDescent="0.25">
      <c r="A35" s="6" t="s">
        <v>82</v>
      </c>
      <c r="B35" s="2" t="s">
        <v>68</v>
      </c>
      <c r="C35" s="8" t="s">
        <v>151</v>
      </c>
    </row>
    <row r="36" spans="1:3" ht="13.5" customHeight="1" x14ac:dyDescent="0.25">
      <c r="A36" s="6" t="s">
        <v>83</v>
      </c>
      <c r="B36" s="2" t="s">
        <v>43</v>
      </c>
      <c r="C36" s="8" t="s">
        <v>152</v>
      </c>
    </row>
    <row r="37" spans="1:3" ht="13.5" customHeight="1" x14ac:dyDescent="0.25">
      <c r="A37" s="6" t="s">
        <v>84</v>
      </c>
      <c r="B37" s="2" t="s">
        <v>43</v>
      </c>
      <c r="C37" s="8" t="s">
        <v>153</v>
      </c>
    </row>
    <row r="38" spans="1:3" ht="13.5" customHeight="1" x14ac:dyDescent="0.25">
      <c r="A38" s="6" t="s">
        <v>85</v>
      </c>
      <c r="B38" s="2" t="s">
        <v>68</v>
      </c>
      <c r="C38" s="8" t="s">
        <v>154</v>
      </c>
    </row>
    <row r="39" spans="1:3" ht="13.5" customHeight="1" x14ac:dyDescent="0.25">
      <c r="A39" s="6" t="s">
        <v>86</v>
      </c>
      <c r="B39" s="2" t="s">
        <v>15</v>
      </c>
      <c r="C39" s="8" t="s">
        <v>155</v>
      </c>
    </row>
    <row r="40" spans="1:3" ht="13.5" customHeight="1" x14ac:dyDescent="0.25">
      <c r="A40" s="6" t="s">
        <v>87</v>
      </c>
      <c r="B40" s="2" t="s">
        <v>15</v>
      </c>
      <c r="C40" s="8" t="s">
        <v>156</v>
      </c>
    </row>
    <row r="41" spans="1:3" ht="13.5" customHeight="1" x14ac:dyDescent="0.25">
      <c r="A41" s="6" t="s">
        <v>88</v>
      </c>
      <c r="B41" s="2" t="s">
        <v>89</v>
      </c>
      <c r="C41" s="8" t="s">
        <v>157</v>
      </c>
    </row>
    <row r="42" spans="1:3" ht="13.5" customHeight="1" x14ac:dyDescent="0.25">
      <c r="A42" s="6" t="s">
        <v>90</v>
      </c>
      <c r="B42" s="2" t="s">
        <v>89</v>
      </c>
      <c r="C42" s="8" t="s">
        <v>158</v>
      </c>
    </row>
    <row r="43" spans="1:3" ht="13.5" customHeight="1" x14ac:dyDescent="0.25">
      <c r="A43" s="6" t="s">
        <v>91</v>
      </c>
      <c r="B43" s="2" t="s">
        <v>15</v>
      </c>
      <c r="C43" s="8" t="s">
        <v>159</v>
      </c>
    </row>
    <row r="44" spans="1:3" ht="13.5" customHeight="1" x14ac:dyDescent="0.25">
      <c r="A44" s="6" t="s">
        <v>92</v>
      </c>
      <c r="B44" s="2" t="s">
        <v>68</v>
      </c>
      <c r="C44" s="8" t="s">
        <v>160</v>
      </c>
    </row>
    <row r="45" spans="1:3" ht="13.5" customHeight="1" x14ac:dyDescent="0.25">
      <c r="A45" s="6" t="s">
        <v>93</v>
      </c>
      <c r="B45" s="2" t="s">
        <v>94</v>
      </c>
      <c r="C45" s="8" t="s">
        <v>161</v>
      </c>
    </row>
    <row r="46" spans="1:3" ht="13.5" customHeight="1" x14ac:dyDescent="0.25">
      <c r="A46" s="6" t="s">
        <v>95</v>
      </c>
      <c r="B46" s="2" t="s">
        <v>89</v>
      </c>
      <c r="C46" s="8" t="s">
        <v>162</v>
      </c>
    </row>
    <row r="47" spans="1:3" ht="13.5" customHeight="1" x14ac:dyDescent="0.25">
      <c r="A47" s="6" t="s">
        <v>96</v>
      </c>
      <c r="B47" s="2" t="s">
        <v>68</v>
      </c>
      <c r="C47" s="8" t="s">
        <v>163</v>
      </c>
    </row>
    <row r="48" spans="1:3" ht="13.5" customHeight="1" x14ac:dyDescent="0.25">
      <c r="A48" s="6" t="s">
        <v>97</v>
      </c>
      <c r="B48" s="2" t="s">
        <v>68</v>
      </c>
      <c r="C48" s="8" t="s">
        <v>164</v>
      </c>
    </row>
    <row r="49" spans="1:3" ht="13.5" customHeight="1" x14ac:dyDescent="0.25">
      <c r="A49" s="6" t="s">
        <v>98</v>
      </c>
      <c r="B49" s="2" t="s">
        <v>89</v>
      </c>
      <c r="C49" s="8" t="s">
        <v>165</v>
      </c>
    </row>
    <row r="50" spans="1:3" ht="13.5" customHeight="1" x14ac:dyDescent="0.25">
      <c r="A50" s="6" t="s">
        <v>99</v>
      </c>
      <c r="B50" s="2" t="s">
        <v>89</v>
      </c>
      <c r="C50" s="8" t="s">
        <v>166</v>
      </c>
    </row>
    <row r="51" spans="1:3" ht="13.5" customHeight="1" x14ac:dyDescent="0.25">
      <c r="A51" s="6" t="s">
        <v>100</v>
      </c>
      <c r="B51" s="2" t="s">
        <v>89</v>
      </c>
      <c r="C51" s="8" t="s">
        <v>167</v>
      </c>
    </row>
    <row r="52" spans="1:3" ht="13.5" customHeight="1" x14ac:dyDescent="0.25">
      <c r="A52" s="6" t="s">
        <v>101</v>
      </c>
      <c r="B52" s="2" t="s">
        <v>68</v>
      </c>
      <c r="C52" s="8" t="s">
        <v>168</v>
      </c>
    </row>
    <row r="53" spans="1:3" ht="13.5" customHeight="1" x14ac:dyDescent="0.25">
      <c r="A53" s="6" t="s">
        <v>102</v>
      </c>
      <c r="B53" s="2" t="s">
        <v>89</v>
      </c>
      <c r="C53" s="8" t="s">
        <v>169</v>
      </c>
    </row>
    <row r="54" spans="1:3" ht="13.5" customHeight="1" x14ac:dyDescent="0.25">
      <c r="A54" s="7" t="s">
        <v>103</v>
      </c>
      <c r="B54" s="7" t="s">
        <v>15</v>
      </c>
      <c r="C54" s="8" t="s">
        <v>170</v>
      </c>
    </row>
    <row r="55" spans="1:3" ht="13.5" customHeight="1" x14ac:dyDescent="0.25">
      <c r="A55" s="7" t="s">
        <v>104</v>
      </c>
      <c r="B55" s="7" t="s">
        <v>15</v>
      </c>
      <c r="C55" s="8" t="s">
        <v>171</v>
      </c>
    </row>
    <row r="56" spans="1:3" ht="13.5" customHeight="1" x14ac:dyDescent="0.25">
      <c r="A56" s="7" t="s">
        <v>105</v>
      </c>
      <c r="B56" s="7" t="s">
        <v>15</v>
      </c>
      <c r="C56" s="8" t="s">
        <v>172</v>
      </c>
    </row>
  </sheetData>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I8"/>
  <sheetViews>
    <sheetView workbookViewId="0">
      <selection activeCell="B4" sqref="B4:B6"/>
    </sheetView>
  </sheetViews>
  <sheetFormatPr defaultColWidth="9" defaultRowHeight="14" x14ac:dyDescent="0.25"/>
  <sheetData>
    <row r="3" spans="2:9" x14ac:dyDescent="0.25">
      <c r="D3" s="1" t="s">
        <v>106</v>
      </c>
      <c r="E3" t="s">
        <v>107</v>
      </c>
      <c r="F3" t="s">
        <v>108</v>
      </c>
      <c r="G3" t="s">
        <v>109</v>
      </c>
      <c r="H3" s="1" t="s">
        <v>110</v>
      </c>
      <c r="I3" s="1" t="s">
        <v>111</v>
      </c>
    </row>
    <row r="4" spans="2:9" x14ac:dyDescent="0.25">
      <c r="B4" s="10" t="s">
        <v>112</v>
      </c>
      <c r="C4" s="1" t="s">
        <v>113</v>
      </c>
      <c r="D4" t="e">
        <f>AVERAGE(竞品对比!#REF!)</f>
        <v>#REF!</v>
      </c>
      <c r="E4" t="e">
        <f>AVERAGE(竞品对比!#REF!)</f>
        <v>#REF!</v>
      </c>
      <c r="F4" t="e">
        <f>AVERAGE(竞品对比!#REF!)</f>
        <v>#REF!</v>
      </c>
      <c r="G4" s="3" t="e">
        <f>COUNTIF(竞品对比!#REF!,-5)/COUNTIF(竞品对比!#REF!,"&lt;&gt;")</f>
        <v>#REF!</v>
      </c>
      <c r="H4" t="e">
        <f>AVERAGE((竞品对比!#REF!+竞品对比!#REF!+竞品对比!#REF!)/3+竞品对比!#REF!)</f>
        <v>#REF!</v>
      </c>
    </row>
    <row r="5" spans="2:9" x14ac:dyDescent="0.25">
      <c r="B5" s="11"/>
      <c r="C5" s="1" t="s">
        <v>114</v>
      </c>
      <c r="G5" s="3"/>
    </row>
    <row r="6" spans="2:9" x14ac:dyDescent="0.25">
      <c r="B6" s="11"/>
      <c r="C6" s="1" t="s">
        <v>115</v>
      </c>
      <c r="G6" s="3"/>
    </row>
    <row r="7" spans="2:9" x14ac:dyDescent="0.25">
      <c r="B7" s="1" t="s">
        <v>116</v>
      </c>
    </row>
    <row r="8" spans="2:9" x14ac:dyDescent="0.25">
      <c r="B8" s="1" t="s">
        <v>117</v>
      </c>
      <c r="I8" t="e">
        <f>COUNTIF(#REF!,“可用”)</f>
        <v>#REF!</v>
      </c>
    </row>
  </sheetData>
  <mergeCells count="1">
    <mergeCell ref="B4:B6"/>
  </mergeCells>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竞品对比</vt:lpstr>
      <vt:lpstr>指标统计</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业飞 侯</cp:lastModifiedBy>
  <dcterms:created xsi:type="dcterms:W3CDTF">2022-10-11T02:32:00Z</dcterms:created>
  <dcterms:modified xsi:type="dcterms:W3CDTF">2026-09-22T12:27:03Z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2052-0.0.0.0</vt:lpwstr>
  </property>
</Properties>
</file>