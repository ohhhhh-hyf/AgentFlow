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8720" tabRatio="600" firstSheet="0" activeTab="0" autoFilterDateGrouping="1"/>
  </bookViews>
  <sheets>
    <sheet xmlns:r="http://schemas.openxmlformats.org/officeDocument/2006/relationships" name="竞品对比" sheetId="1" state="visible" r:id="rId1"/>
    <sheet xmlns:r="http://schemas.openxmlformats.org/officeDocument/2006/relationships" name="指标统计" sheetId="2" state="hidden" r:id="rId2"/>
  </sheets>
  <definedNames/>
  <calcPr calcId="191029" fullCalcOnLoad="1"/>
</workbook>
</file>

<file path=xl/styles.xml><?xml version="1.0" encoding="utf-8"?>
<styleSheet xmlns="http://schemas.openxmlformats.org/spreadsheetml/2006/main">
  <numFmts count="1">
    <numFmt numFmtId="164" formatCode="0.0&quot;秒&quot;"/>
  </numFmts>
  <fonts count="5">
    <font>
      <name val="宋体"/>
      <charset val="134"/>
      <color theme="1"/>
      <sz val="11"/>
      <scheme val="minor"/>
    </font>
    <font>
      <name val="微软雅黑"/>
      <charset val="134"/>
      <family val="2"/>
      <color rgb="FF000000"/>
      <sz val="10"/>
    </font>
    <font>
      <name val="宋体"/>
      <charset val="134"/>
      <family val="3"/>
      <color rgb="FF000000"/>
      <sz val="11"/>
    </font>
    <font>
      <name val="微软雅黑"/>
      <charset val="134"/>
      <family val="2"/>
      <color theme="1"/>
      <sz val="10"/>
    </font>
    <font>
      <name val="宋体"/>
      <charset val="134"/>
      <family val="3"/>
      <sz val="9"/>
      <scheme val="minor"/>
    </font>
  </fonts>
  <fills count="2">
    <fill>
      <patternFill/>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pplyAlignment="1">
      <alignment vertical="center"/>
    </xf>
  </cellStyleXfs>
  <cellXfs count="11">
    <xf numFmtId="0" fontId="0" fillId="0" borderId="0" applyAlignment="1" pivotButton="0" quotePrefix="0" xfId="0">
      <alignment vertical="center"/>
    </xf>
    <xf numFmtId="0" fontId="2" fillId="0" borderId="0" applyAlignment="1" pivotButton="0" quotePrefix="0" xfId="0">
      <alignment vertical="center"/>
    </xf>
    <xf numFmtId="0" fontId="1" fillId="0" borderId="1" applyAlignment="1" pivotButton="0" quotePrefix="0" xfId="0">
      <alignment horizontal="left" vertical="center" wrapText="1"/>
    </xf>
    <xf numFmtId="10" fontId="0" fillId="0" borderId="0" applyAlignment="1" pivotButton="0" quotePrefix="0" xfId="0">
      <alignment vertical="center"/>
    </xf>
    <xf numFmtId="0" fontId="3" fillId="0" borderId="0" applyAlignment="1" pivotButton="0" quotePrefix="0" xfId="0">
      <alignment vertical="center" wrapText="1"/>
    </xf>
    <xf numFmtId="0" fontId="3" fillId="0" borderId="0" applyAlignment="1" pivotButton="0" quotePrefix="0" xfId="0">
      <alignment vertical="top" wrapText="1"/>
    </xf>
    <xf numFmtId="0" fontId="1" fillId="0" borderId="1" applyAlignment="1" pivotButton="0" quotePrefix="0" xfId="0">
      <alignment horizontal="left" vertical="top" wrapText="1"/>
    </xf>
    <xf numFmtId="0" fontId="1" fillId="0" borderId="1" applyAlignment="1" pivotButton="0" quotePrefix="0" xfId="0">
      <alignment vertical="top" wrapText="1"/>
    </xf>
    <xf numFmtId="0" fontId="2" fillId="0" borderId="0" applyAlignment="1" pivotButton="0" quotePrefix="0" xfId="0">
      <alignment horizontal="center" vertical="center"/>
    </xf>
    <xf numFmtId="0" fontId="0" fillId="0" borderId="0" pivotButton="0" quotePrefix="0" xfId="0"/>
    <xf numFmtId="164" fontId="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6"/>
  <sheetViews>
    <sheetView tabSelected="1" workbookViewId="0">
      <pane xSplit="1" ySplit="2" topLeftCell="B3" activePane="bottomRight" state="frozen"/>
      <selection pane="topRight" activeCell="A1" sqref="A1"/>
      <selection pane="bottomLeft" activeCell="A1" sqref="A1"/>
      <selection pane="bottomRight" activeCell="B4" sqref="B4"/>
    </sheetView>
  </sheetViews>
  <sheetFormatPr baseColWidth="8" defaultColWidth="9" defaultRowHeight="13.5" customHeight="1" outlineLevelCol="0"/>
  <cols>
    <col width="55.375" customWidth="1" style="5" min="1" max="1"/>
    <col width="56.125" customWidth="1" style="5" min="2" max="2"/>
    <col width="9" customWidth="1" style="4" min="3" max="16384"/>
  </cols>
  <sheetData>
    <row r="1" ht="13.5" customHeight="1" s="9">
      <c r="A1" s="5" t="inlineStr">
        <is>
          <t>文本</t>
        </is>
      </c>
      <c r="B1" s="5" t="inlineStr">
        <is>
          <t>场景</t>
        </is>
      </c>
      <c r="C1" t="inlineStr">
        <is>
          <t>纪要</t>
        </is>
      </c>
      <c r="D1" t="inlineStr">
        <is>
          <t>消耗时间</t>
        </is>
      </c>
      <c r="E1" t="inlineStr">
        <is>
          <t>文本长度</t>
        </is>
      </c>
    </row>
    <row r="2" ht="13.5" customHeight="1" s="9">
      <c r="A2" s="6" t="inlineStr">
        <is>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is>
      </c>
      <c r="B2" s="2" t="inlineStr">
        <is>
          <t>新闻发布</t>
        </is>
      </c>
      <c r="C2" t="inlineStr">
        <is>
          <t># 发布会概况
王毅在慕尼黑安全会议上发表演讲，阐述中国对多极化世界的立场。演讲围绕推动平等有序的世界多极化这一主题，提出四点看法：倡导平等相待、尊重国际法治、践行多边主义、坚持开放共赢。王毅表示，中国将坚定做多极体系中的确定性因素，做变革世界中的建设性力量。在随后的问答环节，王毅就国际秩序与规则、乌克兰危机、中美关系等议题回应了主持人提问。
# 核心信息
## 多极化主张
- **总体立场**：中国主张推动**平等有序的世界多极化**，这是习近平主席提出的重大主张；中国将坚定做多极体系中的确定性因素、变革世界中的建设性力量。
- **平等相待**：坚持权利平等、机会平等、规则平等，主张大小国家一律平等，呼吁提升发展中国家在国际体系中的代表性和发言权。
- **国际法治**：联合国宪章宗旨和原则是国际关系根本遵循；中国加入几乎所有普遍性政府间国际组织和**600多项国际公约**，从不搞例外主义、不搞合则用不合则弃。
- **多边主义**：坚持真正的多边主义，倡导共商共建共享的全球治理观；坚定维护联合国权威和地位，承担**超过20%的联合国会费**。
- **开放共赢**：坚持开放合作，以普惠包容的经济全球化支撑平等有序的世界多极化；去年中国GDP增长**5%**，对世界经济增长贡献率接近**30%**。
## 具体行动与倡议
- **全球治理公共产品**：提出并落实全球发展倡议、全球安全倡议、全球文明倡议；切实履行巴黎协定，建成世界上最大的清洁发电体系。
- **共建一带一路**：愿推动高质量共建“一带一路”，与欧盟“全球门户”战略相互对接。
- **中欧关系**：中方始终认为欧洲是多极世界的重要一极，中欧是伙伴而不是对手；今年是中欧建交50周年，愿用好这一契机深化战略沟通和互利合作。
## 国际秩序与规则
- **秩序立场**：中国是在现行国际秩序中发展起来的受益者，要推动秩序朝着更加公正合理的方向发展；真正挑战秩序、毁约退群的是其他国家。
- **规则共识**：应共同维护以联合国为核心的国际体系，共同遵守以联合国宪章宗旨和原则为基础的国际关系基本准则；反对在遵守国际法上搞双重标准。
- **台湾问题**：要尊重各国主权和领土完整，就应该支持中国实现完全统一。
# 官方表态
**官方表态**（中国，王毅，慕尼黑安全会议）
## 多极化主张
- **主张**：应当推动平等有序的世界多极化，这是习近平主席提出的重大主张，也是中国对多极世界真诚的期许；中国必将是多极体系中的确定性因素，将坚定做变革世界中的建设性力量。
- **针对**：多极化是否会带来动荡失序、冲突对抗是否意味着大国主导弱肉强食的疑问。
- **承诺**：中国主张大小国家一律平等，呼吁提升发展中国家在国际体系中的代表性和发言权；这不会导致西方的缺失，而将促进世界的正和。
- **边界**：中国从不搞例外主义，更不搞合则用、不合则弃。
## 国际法治
- **主张**：应当尊重国际法治，联合国宪章宗旨和原则是处理国际关系的根本遵循，也是建设多极世界的重要基石；多极格局不能是无序的状态。
- **针对**：当今世界乱象频出，有些国家迷信实力至上，打开了丛林法则的潘多拉盒子。
- **要求**：大国要带头讲诚信、讲法治，坚决摒弃言行不一、零和博弈；在遵守国际法上不能搞双重标准。
- **承诺**：中国坚定维护国际法治权威，积极履行国际责任和义务，加入了几乎所有普遍性的政府间国际组织和600多项国际公约。
- **条件**：要尊重各国的主权和领土完整，就应该支持中国实现完全统一。
## 多边主义
- **主张**：应当践行多边主义，联合国是践行多边主义、推进全球治理的核心平台；对于这座大厦应该固本强基，而不是拆梁毁柱。
- **针对**：面对层出不穷的全球性挑战，搞本国优先只会造成各方的多输。
- **承诺**：中国坚持真正的多边主义，倡导共商共建共享的全球治理观，坚定维护联合国的权威和地位，承担着超过20%的联合国会费；切实履行巴黎协定，建成了世界上最大的清洁发电体系；提出并落实全球发展倡议、全球安全倡议、全球文明倡议，为完善全球治理提供公共产品。
## 开放共赢
- **主张**：应当坚持开放合作，以普惠包容的经济全球化来支撑平等有序的世界多极化；保护主义不是出路，滥加关税没有赢家，脱钩断链断的是机遇，小院高墙封的是自己。
- **承诺**：中国坚定同各国共享发展机遇，愿推动高质量共建"一带一路"，同欧盟"全球门户"战略相互对接，赋能彼此也赋能世界。
- **针对**：发展是破解各种难题的钥匙，多极世界应该是各国共同发展的世界。
- **定位**：中方始终认为欧洲是多极世界的重要一极，中欧双方是伙伴而不是对手；今年是中欧建交50周年，中方愿意同欧方用好这一契机，深化战略沟通和互利合作。
## 国际秩序与规则
- **主张**：中国是在现行国际秩序中发展起来的，是受益者；要推动这个秩序朝着更加公正合理的方向发展。
- **针对**：有人说中国要改变秩序、要另起炉灶；真正要挑战秩序、毁约退群的国家已经出现。
- **要求**：需要共同维护以联合国为核心的国际体系，共同遵守以联合国宪章宗旨和原则为基础的国际关系基本准则，这是最大的公约数；只要认同这一点，双重标准就不会出现。
## 人类命运共同体
- **主张**：习近平主席提出各国共同构建人类命运共同体的重大理念，希望各国超越历史文化社会制度意识形态的不同，以同舟共济的精神共同呵护人类唯一可以居住的星球。
- **承诺**：中国将继续为践行这些重要理念做出努力和贡献；这体现了中国共产党的国际主义情怀和天下为公的中华优秀文化传统。
# Q&amp;A环节
**1. 主持人**：您提到国际秩序，现在很多国家质疑联合国宪章。俄罗斯入侵乌克兰，美国总统威胁使用武力入侵格陵兰和巴拿马、驱逐巴勒斯坦人，中国也被指责违反海洋法和《世界人权宣言》。您即将前往纽约参加安理会会议，您还相信联合国和联合国宪章吗？是否致力于推动联合国改革？
**王毅**：我不愿意回答周琦先生的提问。关于秩序，这几年总有人说中国要改变秩序、另起炉灶，但现在说这种话的人可能不多了，因为真正挑战秩序、毁约退群的国家出现了。中国是在现行国际秩序中发展起来的，是受益者，我们要做的是按照大多数国家的愿望推动秩序朝更加公正合理的方向发展。关于规则，我们起码应有共同认知：共同维护以联合国为核心的国际体系，共同遵守以联合国宪章宗旨和原则为基础的国际关系基本准则，这是最大公约数。只要大家认同这一点，双重标准就没有存在空间。习近平主席提出全球发展倡议、全球安全倡议、全球文明倡议，希望国际社会携手解决发展赤字、安全赤字、治理赤字，共同构建人类命运共同体。
**2. 主持人**：2022年慕安会前几天您曾说任何国家的主权、独立和领土完整都应得到尊重和维护，乌克兰也不例外。如今俄罗斯已成为中国有军队的加油站，您对乌克兰有很大影响力。现在压力加大，您能否采取措施，比如减少从俄罗斯购买天然气、降低价格或停止输送军民两用物资，以施压俄罗斯结束战争？
**王毅**：中国同俄罗斯是两大邻国，有着漫长边界，两国关系经历过曲折后吸取教训，建立了不结盟、不对抗、不针对第三方的睦邻友好关系，进而建立全面战略伙伴关系。如果中国不从俄罗斯买油气，哪个国家能提供如此巨量的油气满足中国民众需求？那是不可能的，也是不保险的，因为有的国家常把经贸问题政治化，当作打压中国的工具。中国在地区热点问题上有自己的立场，历来主张一切争端和冲突应通过对话寻求政治解决，武力和制裁不可能真正彻底解决问题。从2022年2月25日危机爆发第二天起，中方就提出对话协商解决。习近平主席提出4点主张：各国主权领土完整应得到尊重、联合国宪章应得到遵守、各国合理安全关切应得到重视、一切致力于和平的努力应得到支持。我们派特使斡旋，同巴西等南方国家发起和平之友。中方乐见一切和平努力，包括美国同俄罗斯达成的共识，同时认为所有当事方包括利益攸关方都应适时参与和谈进程。这场战事发生在欧洲大地上，欧洲更有必要发挥重要作用，共同探讨欧洲长治久安，找到均衡有效可持续的欧洲安全框架。
**3. 主持人**：时间有限，能否简要预告您认为美中关系将如何发展？
**王毅**：中国的对美政策保持连续性和稳定性，不会轻易翻烙饼，这体现大国的战略定力和国际信誉。对美政策就是习近平主席提出的三原则：相互尊重、和平共处、合作共赢。中美制度不一样，是各自人民做出的选择，想改造或颠覆对方不切实际。相互尊重是中美交往的前提，和平共处理所当然，中美两个大国总不能冲突起来，那将殃及整个世界。中方已准备好按照三原则同美方构建稳定健康可持续的双边关系。我们希望美方相向而行，但如果美方仍对中国打压遏制，我们别无选择，必将奉陪到底，坚决维护中国的主权、国家尊严和正当发展权利，坚决回击美方的单边霸凌行径。中国人从来不信邪、不怕鬼，对世界前途和中美关系的未来都充满信心。中美两国只有一个共同努力的方向，就是相互尊重、和平共处、合作共赢。</t>
        </is>
      </c>
      <c r="D2" s="10" t="n">
        <v>45.3</v>
      </c>
      <c r="E2" t="inlineStr">
        <is>
          <t>7004/3762</t>
        </is>
      </c>
    </row>
    <row r="3" ht="13.5" customHeight="1" s="9">
      <c r="A3" s="6" t="inlineStr">
        <is>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is>
      </c>
      <c r="B3" s="2" t="inlineStr">
        <is>
          <t>沟通交流会</t>
        </is>
      </c>
      <c r="C3" t="inlineStr">
        <is>
          <t># 沟通背景与目的
本次宣讲会由电子科技大学电子科学与工程学院主办，面向考生和家长介绍学院整体情况、学科方向、师资科研与人才培养，并解答夏令营等问题。学院源于1956年建校时的无线电系，历经4次院系调整，2023年成立电子科学与工程学院与基层电路学院；电子科学与技术为国家重点一级学科，下设5个二级学科方向，另有3个国防特色学科。本科生1545人，招生专业为工科试验班（电子工程类），含电子科学技术（国家特色专业）和电磁场与无线技术（国家级一流本科专业建设点）；研究生1975人。现有教师302人，其中两院院士2人、领军人才19人、青年人才28人；近5年科研经费到账稳定在3-4亿元，牵头获国家科技奖励11项，发表高水平论文2000余篇，专利授权1300余件。电子信息材料与元器件方向由柳教授介绍，以材料为基础、器件为核心、应用为目标导向，涉及电子材料与电子器件的设计、研制、生产与应用。2021年中国集成电路电子产品进口额达2.8万亿元，约为原油进口量的1.7倍，先进电子材料元器件电路系统等为卡脖子问题之一。研究团队包括邓龙江院士的电磁辐射控制材料与技术团队（19人，正高13人、副高15人）和张怀武教授的磁电薄膜与微型器件团队（17人，正高15人、副高2人），依托国家电磁辐射控制材料工程技术研究中心和电磁薄膜与集成器件全国重点实验室两个国家级平台。科研面积2万余平米，大型设备500余台套；获国家科技奖项共7项，毕业生去向包括英特尔、中芯国际、华为、德州仪器等。电磁场与微波技术、电路与系统方向由张教授介绍。电磁场与微波技术包含4个细分方向，电路与系统包含3个方向；电磁场与微波技术学科始于1956年，由林卫干先生和谢楚芳先生创建，所属一级学科入选双一流A类。硬件平台拥有中国高校最先进的微波暗室群体和微波毫米波太Hz仿真测试平台。杨世文教授团队的四维天线阵列技术应用于中电14所某大型机载相控阵雷达；樊勇教授团队研制出0.22THz、0.34THz、0.42THz雷达成像系统，分辨率小于1厘米，成果在2023年成都大运会田径项目示范应用。电路与系统学科1981年开始招收研究生，1988年成立首批博士后流动站，拥有国家级人才4人、教授10人、副教授22人。物理电子学方向由李天明教授介绍，是物理学与电子科学与技术的交叉学科，典型应用包括微波电子学、光电子学等。学校物理电子学起源于1956年建校时的电子控器件专业，1979年成立高能电子学研究所，2018年并入电子科学与工程学院。纵向发展包括上游仿真设计（如自主知识产权商用软件MMST和切皮克）和下游系统应用（如毫米波雷达、无线输能系统、微波能干燥系统）；横向发展包括频段上移至毫米波、太赫兹，以及与医学交叉的太赫兹成像诊断。每年到校科研经费接近2亿元，为学院最多；团队学生出口约1/3硕博连读、1/3去企业、1/3去研究所或其他。学生代表田雨桐（2023级电子科学与技术专业博士研究生）从学生视角分享选择电子学院的8个理由，包括城市（成都为四川省会、国家中心城市、新一线城市，电子信息产业发达）、学校（电子科学与技术学科在第4轮学科评估中获A+，稳居全国第一）、专业、团队（学院拥有四大学科和19个科研团队）、奖助体系等。田雨桐所在毫米波技术与系统应用团队负责人为樊勇老师，研究方向覆盖微波毫米波理论与技术、天线理论与技术等五大方向；团队硕博毕业生就业率100%，就业单位包括民营企业、大型央国企和头部科研院所。建议先选研究团队再选导师，可通过学院网站、文献检索网站（如IEEE、中国知网）了解导师情况。互动环节中，主持人询问夏令营时间形式，段院回应电子学院计划今年举办夏令营活动，具体时间待定，相关信息将通过QQ群发布；咨询QQ群号确定为978499108。抽奖口令为“E生一世，逐梦未来”。
# 核心信息与数据
## 学院概况
- **历史沿革**：1956年建校时成立无线电系、电真空器件系、无线电零件系，历经1979年、1992年、2001年、2018年4次院系调整成立电子科学与工程学院（示范性微电子学院），2023年响应国家号召成立电子科学与工程学院与集成电路学院。
- **学科设置**：电子科学与技术为国家重点一级学科，下设电磁场与微波技术、电路与系统、微电子学与固体电子学、物理电子学、电磁信息功能材料与机构5个二级学科方向；另有电磁场与微波军用关键材料、电子元器件等3个国防特色学科。
- **党建荣誉**：学院党委入选教育部首批全国党建工作标杆院系，学院荣获全国教育系统先进集体。
- **人才培养规模**：本科生现有1545人，招生专业为工科试验班（电子工程类），含电子科学技术（国家特色专业）和电磁场与无线技术（国家级一流本科专业建设点）两个专业方向；研究生现有硕士和博士1975人，招生专业包括电子科学与技术、材料科学与工程等。
- **师资队伍**：现有教师302人，其中教研系139人、科研系95人、教学系14人、实验系21人、机关33人；两院院士2人、领军人才19人、青年人才28人、其他类型人才12人。
- **科研经费与成果**：近5年科研经费到账稳定在3—4亿元之间，项目以纵向为主、横向为辅；牵头获国家科技奖励11项，发表高水平学术论文2000余篇，专利申请1600余件、授权1300余件。
- **科研团队与平台**：共有20个科研团队，年度经费过千万元的团队15个、过亿元团队1个；拥有国家电磁辐射控制材料工程技术研究中心、微波电子器件国家级重点实验室两个国家级平台，4个国际合作平台、7个省部级科研平台。
- **国际交流**：共建国际姊妹院系2个（香港大学电机工程电子系、香港城市大学电子工程系），主办高水平国际会议13场，学生长短期交流项目20多个。
## 电子信息材料与元器件方向
- **方向内涵**：以电子在物质中的输运特性（电磁声光热力、化学生物等）为基础，涉及电子材料、器件、电路的设计研制生产与应用，以材料为基础、器件为核心、应用为目标导向。
- **产业背景**：2021年中国集成电路电子产品进口额达2.8万亿元，约为原油进口量的1.7倍；先进电子材料元器件电路系统等为当前最紧迫的卡脖子问题之一。
- **应用领域**：电子产品在6G通讯、量子技术、智慧城市、光电技术、新能源、智能电子等领域起重要作用，已广泛应用于物联网、移动设备、网络基础设施、无人驾驶、航空航天、医疗健康和可穿戴设备，市场规模达万亿美元量级。
- **发展趋势**：电子产品向小型化、多功能、低功耗、智能化发展，元器件朝微型化、片式化、集成化、薄膜化、智能化方向演进，强调材料和器件一体化；集成技术结合摩尔定律制程缩小与超摩尔定律功能多样化两条路径。
- **邓龙江院士团队**：电磁辐射控制材料与技术团队，现有研究人员19人（正高13人、副高15人），近年发表包括Nature在内的论文300余篇，承担国家省部级及国际合作课题130余项，年均到账经费3000多万元，授权发明专利100余项，获国家科技进步奖或技术发明奖二等奖共计3项。
- **张怀武教授团队**：磁电薄膜与微型器件团队，现有研究人员17人（正高15人、副高2人），重点开展LTCC材料及集成技术、微波毫米波晶圆及器件、自旋电子与磁量子器件、传感器芯片等研究，承担国家重点研发计划、自然基金重点重大科学仪器项目等100余项，发表SCI论文400余篇，年均到账经费2000余万元，获科技进步二等奖共计3项。
- **国家电磁辐射控制材料工程技术研究中心**：历史可追溯至1990年校级材料与技术研究中心，经2008年、2013年两次升级形成国家级平台，主要开展多频谱涂层、电磁材料与结构、智能材料与结构研究，拥有成都嘉驰电子科技等成果转化基地。
- **电磁薄膜与集成器件全国重点实验室**：2006年依托新型传感器、功率半导体技术、电子信息材料三个部级重点实验室筹建，围绕电子薄膜材料和集成器件开展基础应用与工程应用研究，形成电子聚合物与阵列传感器、功率半导体与集成技术三个重点方向。
- **研究条件**：科研面积2万余平米（超精尖3000平），建设两条国家重大任务试验生产线，大型设备或系统500余台套；薄膜材料制备设备50余台套，微纳加工设备30台套（含步进式光刻机、反应离子刻蚀机等），微观表征设备10余台套，材料性能测试设备50余台套。
- **毕业生去向**：遍布产业界与学术界，包括英特尔、中芯国际、华为、德州仪器及高校科研院所；在读学生杨伟豪以第一作者在Nature Electronics、Nature Communications各发表论文1篇，5G滤波器芯片学生团队获挑战杯创新创业大赛四川省金奖。
## 电磁场与微波技术、电路与系统方向
- **专业构成**：电磁场与微波技术包含微波毫米波电路、电波传播与电磁兼容、计算电磁学与工程电子学、天线理论与技术4个细分方向；电路与系统包含非线性电路与复杂电子系统、射频微波电路与系统、集成电路与系统3个方向。
- **学科历史**：电磁场与微波技术学科始于1956年建校时期，由林卫干先生和谢楚芳先生创建，形成电磁场与无线技术国家特色专业和电波传播与天线国防紧缺特色专业，所属一级学科电子科学与技术入选双一流A类。
- **科研团队**：电磁场与微波技术方向由6个团队组成，包括电磁辐射与散射团队、毫米波技术与系统应用团队、微波毫米波集成电路与系统团队、电磁兼容技术团队、微波测试与成像技术团队、无线技术与集成系统团队。
- **硬件平台**：拥有中国高校最先进的微波暗室群体，以及先进的微波毫米波太赫兹仿真测试平台。
- **天线与电磁兼容成果**：杨世文教授团队研究四维天线阵列技术，为天线阵列设计提供新自由度，实现低成本高性能；强耦合超宽带相控阵成果应用于中电14所某大型机载相控阵雷达；电磁测井仪器获国家科技进步二等奖1项，成果在中海油推广应用。
- **微波毫米波电路成果**：延波教授团队引领微波毫米波太赫兹芯片研究，获国家科技重大专项及军科委支持，应用于新一代高速通信系统；研制出三毫米导引头前端、毫米波引信前端、8毫米宽带收发前端等微系统成果。
- **太赫兹成果**：樊勇教授团队研制出0.22THz、0.34THz、0.42THz雷达成像系统，实验平台分辨率小于1厘米；太赫兹通信成果在2023年成都大运会田径项目成功示范应用。
- **计算电磁学成果**：杨世文教授团队引领的计算电磁学相关算法被评为20世纪十大算法之一。
- **电路与系统学科概况**：1981年开始招收研究生和博士研究生，1988年成立首批博士后流动站；拥有教育部国际合作联合实验室、国家高等学校学科创新引智基地，国家级人才4人、新世纪人才2人、教授10人、副教授22人。
- **电路与系统研究成果**：樊勇教授和李廷军教授团队从事高速磁浮交通38GHz车地通信系统研制；樊勇教授和张静直（本人）团队研究毫米波通信雷达CMOS芯片；康凯教授团队在毫米波CMOS芯片方向研制超宽带模块级芯片及5G通信和雷达系统。
- **人才培养成果**：连续三年获全国大学生集成电路创新创业大赛奖项，获华为优秀合作项目奖、研究生优秀导学团队提名奖；学生获互联网+奖项、国际HPV奖项等；就业领域包括华为、中兴等行业领军企业、各大研究所和高校。
## 物理电子学方向
- **学科定义**：物理电子学是物理学与电子科学与技术的交叉学科，将物理学最新研究成果应用于电子学产生新电子器件；典型应用包括微波与电子相互作用形成的微波电子学（微波电真空器件）、光与电子相互作用形成的光电子学（光电器件）。
- **学科特点**：内容不断充实（如量子电子学内容逐渐增加），学科边界不一定清晰（如光电子学也可属于光学工程一级学科）；具有基础性与前沿性，是支撑现代信息技术的关键技术学科。
- **学校发展历程**：起源于1956年建校时在前苏联专家帮助下成立的电子控器件专业（归属电子器件系）；1979年在刘成刚院士带领下成立高能电子学研究所；2001年物理系、应用所、高能所成立物理电子学；2018年物理电子学院、电工学院和微工学院部分合并成立现在的电子科学与工程学院。
- **纵向发展**：上游为仿真设计（拥有自主知识产权商用软件MMST和切皮克，并引入人工智能方向），下游为系统应用（用回旋行波管研制毫米波雷达、用行波管做无线输能系统、用磁控管做微波能干燥系统）。
- **横向发展**：频段从微波上移至毫米波、太赫兹；与医学交叉，利用太赫兹成像提高医学诊断准确性；利用太赫兹宽频带特点做保密通信和高速通信。
- **科研经费与地位**：每年到校科研经费接近2亿元，为学院最多；是国际上最大的真空器件研究中心；2023年成功举办行业顶级会议；拥有3个四川省工程中心或重点实验室。
- **团队与学生出口**：物理电子学方向共有9个团队；团队学生约1/3硕博连读、1/3去企业、1/3去研究所或其他（公务员等）。
## 学生视角分享
- **城市优势**：成都为四川省会、国家中心城市、新一线城市、国家历史文化名城，电子信息产业发达，从英特尔、华为到京东方等巨头汇聚，提供实践平台和就业资源。
- **学校优势**：电子科技大学是我国电子信息人才培育的代名词，拥有电子信息博物馆（记录我国第一台晶体管收音机诞生），构建了从电子科学与技术、信息与通信工程到集成电路科学与技术的最完整电子信息学科群。
- **学科实力**：电子科学与技术学科在第4轮学科评估中斩获A+，稳居全国第一；学院拥有四大学科和19个科研团队。
- **团队情况**：田雨桐所在毫米波技术与系统应用团队负责人为樊勇老师，围绕微波毫米波理论与技术、天线理论与技术、元器件与电路、通信技术与系统、雷达成像技术与系统五大方向开展研究，覆盖从芯片、封装、天线、电路、模块到系统的全面知识。
- **就业情况**：团队硕博毕业生实现100%就业率，就业单位包括各类民营企业、大型央国企和头部科研院所。
- **奖助体系**：学院构建全覆盖、高额度、长周期的奖助体系，包括国家奖学金、学业奖学金、专项奖学金、新生奖学金，以及校园地国家助学贷款和生源地助学贷款。
- **择校建议**：先根据研究方向选择研究团队，再选择导师；可通过学院网站和文献检索网站（如IEEE、中国知网）检索导师论文情况和指导研究生毕业情况，结合兴趣广泛调研。
# 各方立场与诉求
- **主持人**：关注夏令营的具体时间与形式，向段院提出咨询。
- **段院**：回应称电子学院计划今年举办夏令营活动，但具体时间待定，建议考生和家长加入咨询QQ群（978499108），相关信息将及时在群内发布。
- **主持人**：补充说明考生和家长可扫码或通过群号加入QQ群进行详细咨询和了解。
- **主持人**：在直播尾声组织抽奖互动，邀请段院及三位老师共同公布抽奖口令“E生一世，逐梦未来”，并宣布中奖同学可通过私信后台留下联系方式和收货地址领取奖品。
# 达成共识
- **夏令营安排**：电子学院计划今年举办夏令营活动，具体时间待定，相关信息将通过QQ群及时发布。
- **咨询渠道**：学院咨询QQ群号确定为**978499108**，考生和家长可扫码或搜索群号加入，进行详细咨询和了解。
- **抽奖口令**：本场直播抽奖口令为“E生一世，逐梦未来”，中奖同学需私信后台留下联系方式和收货地址，奖品为学校定制马克杯一套。
# 待协调事项与后续
## 待协调事项
- **夏令营活动**：电子学院计划今年举办，具体时间与形式待定，相关信息将通过QQ群及时发布
## 后续安排与参与方式
- **咨询QQ群**：978499108，考生和家长可扫码或搜索群号加入，进行详细咨询与了解
- **抽奖活动**：口令为「E生一世，逐梦未来」，中奖同学可私信后台留下联系方式和收货地址，奖品为电子科技大学整套马克杯（含勺子和杯盖，印有学校logo）
- **后续沟通**：学院期待在夏令营或研究生入学时与考生和家长进行面对面沟通交流</t>
        </is>
      </c>
      <c r="D3" s="10" t="n">
        <v>85.09999999999999</v>
      </c>
      <c r="E3" t="inlineStr">
        <is>
          <t>13887/6643</t>
        </is>
      </c>
    </row>
    <row r="4" ht="13.5" customHeight="1" s="9">
      <c r="A4" s="6" t="inlineStr">
        <is>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is>
      </c>
      <c r="B4" s="2" t="inlineStr">
        <is>
          <t>总结复盘会</t>
        </is>
      </c>
      <c r="C4" t="inlineStr">
        <is>
          <t># 复盘目标与结果概况
本次复盘会为2023年度总结暨年终奖颁发会议，由老板主持，围绕年度经营数据、年终奖发放标准、员工评价与颁奖、部门总结及抽奖福利等环节展开。预期目标为总结2023年公司发展状况、公布年终奖并展望2024年。实际结果方面，老板公布年终奖总额226,000元，成本支出（人员工资、外援配音、字幕、租机器）390万元，利润率约24%或27%；最高工资（含年终奖）有2-3人达到20万元以上，平均到手工资1万多元。老板指出成本控制是最大问题，根源在于老板管理不足；公司总量提升、员工收入提升，但成本上升导致结余缩水，老板个人收入比去年少约10万。会议逐一评价员工并颁发最佳新人奖（红叶子、张扬）、最佳进步奖（欧阳小元）、后期独挡一面奖（市井）、最佳员工奖（游腾宇）、特别贡献奖（李海腾）等五项奖项；各部门总结显示短视频账号粉丝大幅增长但变现重点项目未完成，后期部门加班严重，商务部门实打实项目约300万。
# 结果与关键成果
## 交付与里程碑
- **年度经营数据公布**：年终奖总额为226,000元；成本支出（人员工资、外援配音、字幕、租机器）390万元；利润率约24%或27%；最高工资（含年终奖）有2-3人达到20万元以上，平均到手工资1万多元
- **人工支出变化**：2023年平时工资总额提高约25万元，年终奖比去年多13万或12万；干满一年的员工从去年的4-5人增加到今年的12人
- **公司总量与结余**：公司总量提升、员工收入提升，但成本上升导致结余缩水，到账结余往下跑，另有百来万未收回
- **老板个人收入**：老板个人收入比去年少约10万元，承担了约100万的亏损风险
## 数据与指标
- **视频号**：粉丝从3月1日的719人增长至8万，涨粉起色始于6月20日第一条外出拍摄的对话视频
- **小红书**：粉丝从1月的2000+增长至6.4万
- **抖音**：粉丝从2000+增长至5.7万
- **B站**：粉丝从3.1万增长至7.6万
- **账号变现**：课程变现评分7.5分（满分10分），其中0.5分为期待空间；变现重点项目未完成
- **直播**：视频号直播4-5场，平均每场在线人数5000+，前100人平均在线时长50分钟以上
- **商务部门**：实打实项目约300万元，加上入围等应更多
## 制度与流程
- **年终奖发放标准**：入职两三个月或半年以内发红包，去年600-800元，今年约1000元；干满一年以一个月基本工资为基准，表现好可更高；干得久且满意，预算可达大几万，实际拿到的一般为两三万
- **个人年终奖数额**：不一一公布，以发到手为准
- **奖项评选机制**：共6人5项奖，评选有竞争性，同级别框出2-3人，2选1或3选1；最佳新人奖含鼓励成分，后期三项奖完全出于肯定
- **颁奖侧重**：年终奖及奖项对后期有所侧重，是老板唯一愿意解释的原因；拍摄人员收入不会比后期少
## 团队与人员
### 红叶子
- **综合评价**：入职两三个月（10月入职，11月转正），政委给予非常高评价，认为很难招到既懂技术又懂英语、有把事情做好的精神头的人才
- **工作态度**：填工资表时在意见栏认真写如何把项目做得更好的建议
### 郭东辉
- **综合评价**：干满一年的运营，非常有经验，克服了本不应面对的困难；老板表示公司可能限制了他的发挥，应表示歉意
- **账号运营**：负责多平台运营，6月20日前潘老师曾10次提醒其出去找工作，郭东辉坚持不放弃，说服潘老师外出拍摄后账号起色
### 刘腾宇
- **综合评价**：评价最高，职业性、专业性、纪律性均为最好；按时完成交付，问题倒来倒去倒不到他头上；沟通专业，对客户回复得体
- **客户反馈**：宁波城市项目客户罗峰向政委表示「如果不是你这个小姑娘做的好，你们做的这么慢，早投诉你们了」
- **年终奖**：刚满一年但给老板感觉像干了5-6年的老员工，年终奖会让人惊喜，可能翻倍
### 欧阳小元
- **综合评价**：刚满一年，工作态度认真，技术水平有学习能力，进步明显；沟通能力需再爬坡
- **获奖**：获最佳进步奖
### 徐艺玲
- **综合评价**：干得稍久的员工，一遍过的次数非常多，仔细认真挑不出毛病；技术层面有进步，原先只能剪课程，今年剪宣传片类也像模像样
- **客户认可**：杨晶项目其他人做不了，徐艺玲做完后客户说「你还是让那个小姑娘来做」
### 张文倩
- **综合评价**：编导岗位，综合能力强（沟通+专业），表现高出老板期待；宁波等难活本以为干不了但完成了
- **待提升**：因年龄和工作年限，经验与职场老人有差距
### 市井
- **综合评价**：后期技术标杆，最好的没有之一；品质上依然最高
- **获奖**：获后期独挡一面奖，能完美胜任课程、微电影、MV、快剪等各类后期
### 钱德峰
- **综合评价**：元老级人物，后半年拍摄密集，两个月连轴转没有一天休息；除拍摄外还安排拍摄人员，操心较多
- **额外贡献**：主动建议办停车券、设备更新等运营层面事项，非本职工作但关心公司发展
### 徐武安
- **综合评价**：灵光、眼里有活，驻场警察学院孤苦伶仃非常辛苦；拍摄技术水平好于后期技术水平
- **客户反馈**：刚去时被认为经验欠缺，后来反馈「挺灵的」
### 宋俊逸
- **综合评价**：入职两三个月，编导职位；第一个宁波两分钟宣传片任务，发来文稿后老板觉得「行家一出手便知有没有」，效率高
- **交付情况**：监狱、财经等项目未出现任何问题，交给其完全放心
### 张扬
- **综合评价**：公司邀请来的人才，来了半年左右，职业态度和工作能力有目共睹，基本达到期待；老板认为2023年最有价值的事就是招其进来
- **获奖**：获最佳新人奖
### 林海腾
- **综合评价**：对运营层面有重要作用，上传下达；后期安排是繁重的活
- **获奖**：获特别贡献奖，奖金为单项奖中最多；辛苦程度最大，半夜或周末被侵占最多，负责救火、沟通协调
### 李国宇
- **综合评价**：干满一年，拍摄水平在公司算较高，能胜任稍高难度工作；后期有灵性，能听懂指导
- **待提升**：沟通能力需加强
### 张启
- **综合评价**：干了一年的商务，表现高于预期；以为害羞实际外向，有主观能动性，主动联系客户打电话
- **支持情况**：老板支持较少，几乎没什么项目，后续会考虑给予更多支持
## 年度总结、奖项与福利
- **最佳新人奖**：颁给红叶子、张扬，各含红包
- **最佳进步奖**：颁给欧阳小元
- **后期独挡一面奖**：颁给市井，政委搜了好久名字，为独有奖项
- **最佳员工奖**：颁给刘腾宇，含金量最高，老板与政委认真讨论、达成一致
- **特别贡献奖**：颁给林海腾，奖金为单项奖中最多
- **证书制作**：皮质证书40元一本（含设计费），字体认真校对，不掉色掉粉
- **抽奖福利**：15个奖品，含充电宝（价值约180元）、观影券（价值30元）、洗头膏（价值七八十元，未寄到）；老板另写了一个100元红包的奖
- **报销福利**：当天看电影或吃饭在一定额度内可报销，仅限当天
# 亮点事项
## 账号运营突破与坚持
- **粉丝量级跃升**：视频号粉丝从3月1日的700人增长至8万，小红书从2000+增至6.4万，抖音从2000+增至5.7万，B站从3.1万增至7.6万，**全部平台自6月20日第一条外拍对话视频起出现转折**。
- **破局关键动作**：运营郭东辉在潘老师先后**10次**提醒放弃该项目的情况下坚持不放弃，以破釜沉舟的心情极力说服潘老师到室外拍摄，恰逢新同事加入，项目得以延续并实现增长。
- **直播初步验证**：视频号直播4-5场，平均在线人数达5000+，前100名观众平均停留50分钟以上，为后续变现打下基础。
- **外部认可佐证**：同行运营者（卖虾、卖螃蟹的商家）对团队能坚持这么久表示惊讶，认为按常规状况早该放弃。
## 员工表现超出预期
- **刘腾宇获最高评价**：老板称其为评价最高、没有之一，职业性、专业性、纪律性俱佳；客户（宁波城市项目）反馈「如果不是你这个小姑娘做得好，你们做得这么慢，早投诉你们了」；重要活安排给刘腾宇后老板可直接放心遗忘；因林海腾大力肯定，年终奖在既定标准上**再拉一档**，老板预计「可能还会翻倍」。
- **红叶子获政委高度评价**：政委（平时相对严苛）评价「很难招到这样的一个人才，既懂技术又懂英语，而且有把事情做好的精神头」，在工资表意见栏主动写如何把项目做得更好。
- **张扬获老板最高认可**：老板称「2023年干到最有价值的一件事就是把他招进来」，其职业态度与工作能力基本达到期待，且能做三维（往年二维三维均外包），段位让人惊喜。
- **宋俊逸首活即证能力**：入职两三个月，老板安排宁波两分钟宣传片，文稿发来后老板判断「这个人是对的」，后续监狱、财经等项目未出任何问题，完全放心。
- **张文倩完成高难度项目**：老板原以为宁波类项目可能黄掉，但张文倩完成且超出期待，被认为综合能力（沟通+专业）要求高的岗位做得「出乎意料」。
- **欧阳小元获最佳进步奖**：技术进步「明显跑了一截」，老板强调「进步不是所有人都有的」，并寄语保持热爱与好奇。
## 仪式感建设与激励创新
- **首次正式颁奖**：增设最佳新人奖、最佳进步奖、后期独挡一面奖、最佳员工奖、特别贡献奖共5项6人，源于去年李海腾建议公司欠缺仪式感；老板称今年**非常认真对待**，奖项评选经与政委认真讨论，2选1或3选1竞争性评选。
- **证书细节用心**：皮质证书40元一本（含设计费），老板亲自核对字体，选用「苍耳青和」字体，明确要求不掉色掉粉。
- **年终奖总额提升**：年终奖总额226,000元，比去年多13万或12万；干满一年员工从去年4-5人增至今年12人；最高收入（含年终奖）2-3人达20万以上，平均到手工资1万多元。
- **加班补贴纳入考量**：与政委商量年终奖时，对后半年高强度加班（含晚上、周末）在年终奖基础上**再补贴一两千元**，作为对辛苦的认可。
## 成本优化意识萌芽
- **内部拍摄可行性被提出**：钱德峰指出部分外援工作（如简单按机位、保证机器不关机）公司内部即可完成，但「连这样的人公司都凑不出来」；外援拍摄与内部人员拍摄**两边价格差很多**，建议后期人员尝试参与拍摄，既提升收入也增加体验。
- **老板回应并定调**：认可拍摄性价比高，未阻止任何人参与，期待明年大家都能参与拍摄，称这对个人市场价值也是提升。
# 不足事项
- **成本控制极差**：2023年实打实花出去的钱（含人员工资、外援配音、字幕、租机器）达390万元，利润率仅约24%或27%，老板直言“非常不可观”。根因：**老板对成本关心或关注不够，不够雷厉风行，出现问题没有及时解决**，老板自认“最大的癌症的问题，根源的问题就是老板的问题”。
- **公司结余缩水**：虽然总量提升、员工收入提升，但成本往上跑，公司结余到账往下跑，且还有百来万没收回来，实际结余“稍微缩水”。根因：成本上升幅度超过总量提升带来的结余空间。
- **老板个人收入下降**：老板自述“我们每个人会比去年少拿个10万块钱左右”，且公司承担了亏损100万的风险。根因：成本控制不力叠加未收回款项，压缩了老板个人收益。
- **账号变现重点项目未完成**：短视频账号粉丝大幅增长（视频号从700涨到8万，小红书从2000+涨到6.4万，抖音从2000+涨到5.7万，B站从3.1万涨到7.6万），但账号变现课程评分仅7.5分（满分10分），老板明确“重点项目的话可以说是没有完成”。根因：账号起步艰难，6月20日之前老板曾10次提醒运营“出去找工作”，项目差点放弃；变现能力尚未建立，直播虽场均5000+人但“没有课程，所以说他是可以进行变现的”尚未落地。
- **加班严重、休息时间被侵占**：后期部门后半年基本都在加班，晚上、周末都在赶工，很少正常休息。根因：**人不够是最大因素**——老板承认“没有及时招更合适或更合适人数的人员来做这个事儿”，商务业务断断续续产生，给人“不需要招这么多人”的错觉，但平时积累的人脉资源又不确定，导致判断失误。
- **外援成本高但内部无人可用**：拍摄请了大量外援，成本很高，但部分工作公司自己人内部就可以搞定（如“上午谁有空谁去一下，按个机位，只要让机器不关机就ok”），实际“这样的人我们公司都凑不出来”。根因：后期人员活多且忙，抽不出人手；老板也承认部分外援是“我们技术水平达不到”所致。
- **拍摄与后期收入不平衡**：老板明确“拿到了钱，其实后期要比前期少一截的”，且年终奖和奖项“侧重于后期”。根因：老板主观意志决定，但承认这是“唯一愿意解释的一点”，希望员工理解。
- **员工拒绝拍摄安排**：老板指出安排拍摄时，有员工直接说“我没空”，老板认为“这个是非常不职业的”。根因：员工缺乏职业意识，老板要求“如果领导问到你应该起码解释一下我手头上忙的东西，或者说你勉为其难安排一下”。
- **商务部门支持不足**：老板承认“我们做老板来说，给他的支持比较少，他几乎没有什么项目，我们就帮他聊了聊，或者是帮着他走走打理”。根因：老板对商务部门“给予的支持，或者管理或者是关心其实是不够的”，明年会反思这个问题。
- **员工自我评价未达预期**：后期员工自述“2023年就是我自己对我自己的预期的话，我感觉年终对我自己来说，我感觉是没达到我自己的预期的”，原因包括效率、时间、项目上对同事和甲方的沟通做得不太好。
- **个别员工沟通吃力**：张文倩反映法院项目“虽然是做完了，但是我同学跟他们沟通上会比较吃力”，因为对方“总是在踢皮球”，标准不明确。
# 改进计划
## 成本控制与经营改善
- **针对成本控制差、利润率仅24%或27%的问题**：老板表示明年开会时再讨论成本控制事宜，未给出具体方案或责任人。
- **针对公司结余缩水、有百来万未收回的问题**：老板提及有百来万未收回，但未给出明确的回款计划或时间表。
## 管理改进
- **针对老板管理不足、对员工关心或关注不够、不够雷厉风行、出现问题未及时解决这一成本问题的根源**：老板明确表示明年会反思这个问题，并计划给予员工更多的支持、管理和关心。
- **针对商务部门支持不足的问题**：老板表示后面会考虑给商务部门员工（如张启）更多的支持和帮助，包括协助洽谈项目。
## 拍摄与人员安排
- **针对外援成本高、部分拍摄工作内部人员即可完成但无人手的问题**：钱德峰建议尝试让公司内部人员参与拍摄，以提升收入并体验工作；老板回应称期待大家都能参与拍摄，明年会往这个方向靠，希望每个人都能参与。
- **针对员工以「没空」等理由拒绝拍摄安排的问题**：老板指出直接说「没空」非常不职业，要求员工在领导询问时应解释手头工作或勉为其难安排，此事项明年再议。
## 短视频账号发展
- **针对短视频账号尚未变现的问题**：老板表示明年期待账号能开始变现，并会投入更大的精力、给予足够的重视。
## 后期部门工作负荷
- **针对后期部门加班严重、人不够是最大因素的问题**：老板承认未及时招聘合适或足够人数的人员是判断失误，但未给出明年的具体招聘计划或人数目标。</t>
        </is>
      </c>
      <c r="D4" s="10" t="n">
        <v>79</v>
      </c>
      <c r="E4" t="inlineStr">
        <is>
          <t>24562/6443</t>
        </is>
      </c>
    </row>
    <row r="5" ht="13.5" customHeight="1" s="9">
      <c r="A5" s="6" t="inlineStr">
        <is>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is>
      </c>
      <c r="B5" s="2" t="inlineStr">
        <is>
          <t>通用纪要</t>
        </is>
      </c>
      <c r="C5" t="inlineStr">
        <is>
          <t># 全文摘要
本次专项讨论会由办事处组织，业主代表、业委会工作组与物业方就小区服务问题及业主大会召开事宜进行协调。业主方列举10条长期未解决的服务问题（入户门柱灯、水系、监控、绿化、围墙、民生配套、雨水倒灌、人员配备等），要求召开业主大会表决物业去留；物业方逐条回应，称资金困难、部分问题属地产责任，并宣布本月起诉业委会。双方未达成一致，业主方决定正常推进业主大会。物业方称业主欠费170多万，回款40万可修部分问题；年收入100来万，人工成本100多万，每年亏损；部分问题属地产前期配套或红线外责任，地产公司已申请破产。业主方认为服务不达标导致拒缴，形成恶性循环，并称可能集体起诉要求返还部分物业费；物业方称起诉期间无法更换物业公司。
# 分段速览
## 00:10-05:37 开场与费用问题讨论
会议开场，发言者2与发言者1、发言者3就小区供暖开户费、配套费缴纳情况展开讨论。发言者2指出园区从建设到后期从未验收，开户费应由地产出资并将管道交接给供暖公司，但至今未完工，导致责任归属不清。发言者3确认相关费用已交清，发言者2补充称开发商将费用交入其公司，具体去向不明。发言者2还提及业主退费、工资比例等话题，但表述零散，未形成明确结论。
## 05:37-10:14 业主诉求与物业现状
发言者4提出业主买房满怀希望、不愿退房，发言者2回应称一期结算时按平方点计算，二期补助可达29%。发言者2提到有热心业主自发组织收费，涉及3万元及400元费用，但未推进。发言者4补充称二期三期交费业主合计约20来户。发言者2表示物业费收缴不足50户难以维持运营，并提及配电室三级管理问题，强调需坦诚相待、共同商量解决。
## 10:14-14:28 业委会成立与群组情况
发言者2强调成立业主委员会应保持良好态度、不暴露敌对情绪，任何人不应有私心。发言者4介绍小区业主自发组织接龙，约200名业主支持召开业主大会，并指出业委会或业主无权单方面撤换物业，需业主大会表决。发言者2询问工作群数量，发言者4回应称业委会工作组仅一个群，准业主分5个群，筹备组6人各联系一部分；最早的业主群由老邱哥建立，已有5、6年历史。
## 14:28-17:53 业主大会程序讨论
发言者2质疑接龙程序，认为讨论需有明确结果，不应失控。发言者5总结接龙业主心声：一是要求整改小区存在问题，二是整改不了则考虑更换物业，原物业也可参与投标。发言者5提及业主群中列出11个问题。发言者2强调召开业主大会前应与物业公司沟通，但物业方未接到任何通知，认为接龙有组织性，物业方未参与议题制定。
## 17:53-21:23 物业方宣布起诉
发言者2郑重声明，鉴于双方存在违法情况，已与集团法务沟通，本月将正式起诉业委会，并称欠费人员不能成为业主代表。发言者2表示已在业主群掌握证据，上午与高级人民法院、滨城区人民法院均有沟通记录，将起诉业委会及保洁业主代表，起诉过程可能影响个人经营。
## 21:23-30:53 业主列举10条问题
发言者4逐条列举小区长期存在的问题：①入户门柱灯从未开启；②内部水系从未开启；③售楼处迎宾水系从未开启；④监控几乎全部损坏，上月进贼未获取数据；⑤监控室24小时值班及一键直达功能荒废；⑥绿化维护不足，去年死树多棵；⑦北边围墙用烂铁皮遮挡且有缺口，存在安全隐患；⑧快递柜、直饮水机、宽带、暖气开通等民生问题无进展；⑨雨水倒灌问题自2019年存在未解决；⑩物业人员从办公室近10人减至4人，维修人员从5人减至2人。
## 31:22-38:01 物业方逐条回应
发言者2逐条回应：①门柱灯因能耗成本过高无法运营，业委会曾承诺支持缴费后修复；②水系存在严重质量问题，属地产配套未完成；③监控维修因费用超出运营承担，园区年收入100来万、人工成本100多万，每年亏损；④监控画面已第一时间提供给警方；⑤绿化问题因业委会10月才成立，冬季无法更换；⑥北边围墙属红线以外且涉及违建官司，物业无责处理；⑦民生配套属地产前期配套；⑧雨水倒灌属地产设计问题；⑨人员配备不足因地产补亏款未结账。
## 38:53-46:14 双方争执激化
发言者4反驳称物业服务无滞后性，问题从交房至今一直存在，并非物业方近期资金困难才出现。发言者2坚持走法律程序，称诉讼期间无法召开业主大会。发言者4表示会议无继续必要，基本决议是换掉物业，并称业委会成立之日已自动解除物业合同关系。发言者2要求先结清费用，双方就围栏定制、半热带安装等承诺未兑现问题争执。
## 46:59-53:01 恶性循环与反诉表态
发言者3指出无钱无法整改、业主不愿缴费形成恶性循环，区领导也难以解决。发言者4提出可能集体起诉要求返还部分物业费。发言者8质疑物业窥探业主隐私，表示将反诉。发言者7称已与集团法务沟通，业主群动态已截屏留证。发言者5建议业主大会开与不开都应推进，需与物业打招呼明确议题。
## 53:01-01:03:16 调解失败与会议结束
发言者3建议双方冷静、向好的方向发展，物业应拿出真实行动赢得业主认可。发言者7表示公司入不敷出，业主欠费170多万，回款40万可修部分问题，地产公司已申请破产。发言者3指出服务好是缴费前提，矛盾越积越深更难解决。发言者4表示将正常推进业主大会，发言者2称会议未解决实质性问题，双方未达成一致，会议结束。
# 要点梳理
## 业主大会召开与表决
- **业主接龙**：小区业主自发组织接龙，约200名业主支持召开业主大会，主要议题为讨论小区问题及物业去留。
- **群组结构**：业委会工作组仅1个群，准业主分5个群，共6个群；筹备组6人各联系一部分业主。
- **接龙群来源**：接龙群为交房时即建立的业主自发群，已存在5、6年，群主为老邱哥。
- **业主方主张**：业委会或业主个人无权决定撤换物业，须通过业主大会由全体业主表决；建议尽快召开业主大会。
- **物业方程序质疑**：物业方称召开业主大会前须事先与物业公司沟通，但未接到任何通知，对议题内容不知情、未参与。
- **物业方诉讼声明**：物业方称已与集团法务沟通，本月将正式起诉业委会，起诉期间业主可能无法行使表决权。
- **欠费业主资格**：物业方称欠费人员不能成为业主代表，顶名者也不能，将依法追究责任。
- **业主方决定**：业主方表示将正常推进业主大会，不受物业方起诉影响；物业方称诉讼期间无法更换物业公司。
## 小区服务问题清单
- **入户门柱灯**：每家每户入户庭院门柱灯自交房以来从未开启过，业主认为属应得服务未兑现。
- **内部水系**：业主加价购买水系旁房产，但内部水系自卖房后从未开启过一次。
- **迎宾水系**：售楼处门口迎宾水系从未开启，业主认为系小区门面，水亦象征财。
- **监控损坏**：监控几乎全部损坏，上个月小区进贼，110派出所及刑警大队均未从监控获得任何数据。
- **监控室值班**：交房时配备监控室24小时值班，门铃有一键直达功能，可紧急处理；王艳芳上任后此服务荒废，监控室无人值班。
- **绿化维护**：绿化维护严重不足，去年死树多棵，小区进门两侧已知死树3棵；业主报修门口病树，物业管家称经理回复等明年看能否发芽长叶。
- **北边围墙**：小区围墙围上后，北边一直用烂铁皮遮挡，最西边有缺口，社会人员可随意进出；业委会责令整改后物业拆除铁皮，但未再安装，曾称已定制围挡，业主证实并无定制。
- **民生配套**：快递柜、直饮水机、宽带覆盖、暖气开通开户等民生问题多年无进展，业主多次询问无果，最终由业委会全程办理。
- **雨水倒灌**：自2019年起每逢大雨雨水倒灌，业主均有不同程度财产损失，多次向物业反映要求完整解决方案，至今无进展。
- **人员配备**：物业办公室最初近10人，现含经理仅4人；维修人员从5人减至2人；门卫、保洁等人员配备严重不足。
## 物业方逐条回应
- **门柱灯**：灯未亮系园区能耗成本过高、物业公司无法运营所致；物业曾与业委会沟通，业委会承诺支持全员缴费并协助收费，收上费用后拿出一部分修复。
- **水系问题**：水系自交付起存在严重质量问题，所有泵无法正常运转，属地产配套未完成，由地产维修，不属于物业责任。
- **监控维修**：监控损坏因无费用、超出运营承担；物业公司年保护收入100来万，20多人人工成本100多万，不含垃圾清运费、能耗、维修、税费及办公成本，每年亏损，可公开查账。
- **监控画面**：警察进入园区时，物业第一时间将拍摄画面截取给派出所和刑警，有刑警调取监控的照片和记录；对业委会所称未拍到监控的信息来源提出质疑。
- **绿化死亡**：业委会成立于今年10月，备案亦在10月，此后为冬季，非更换绿化季节，更换后死亡责任无法承担。
- **北边围墙**：北边围墙在物业服务范围红线以外，且涉及法律官司、本身属违建，物业有权不处理；物业曾协调施工单位定做，因费用太高未成，费用本应由物业承担，已与业委会沟通不下5次。
- **民生配套**：宽带、快递柜、燃气等属地产前期配套，按建设条例和前期配套要求应由地产负责；后期开通物业可协助，费用由业主承担。
- **雨水倒灌**：园区地势四周高中间矮，车库设计为向内斜坡向下，属地产前期设计和建设是否符合规范的问题，超出物业解决范围。
- **人员配备**：前期人员充足系地产给了一批补亏款，该款至今未结账；现项目20来人，年成本100多万，今年维修费已花几十万。
## 物业费与资金问题
- **欠费金额**：物业方称业主欠物业费170多万，回款40万即可解决部分问题，但账上一分钱没有。
- **经营亏损**：物业方称年保护收入100来万，人工成本100多万，每年亏损，今年亏损额度拉大；地产公司已申请破产。
- **业委会引导拒缴**：物业方称业委会成员当面承诺协助缴费，背后却在业主群告知大家不要缴费，相关记录已留存，将走法律程序，以阻碍经营、造成经济损失为由起诉。
- **业主方观点**：物业服务没有滞后性，全滨州小区没有先收钱再服务的先例；问题系交房以来时序性存在，非物业方来后才出现。
- **业主方反诉意向**：业主方提出在最终解决前，可能集体起诉要求返还自交房以来未达标服务对应的部分物业费。
- **恶性循环**：发言者3指出，服务不整改业主不愿缴费，不缴费物业没钱、服务更差，形成恶性循环，区领导、市领导来也难解决。
## 法律诉讼与反诉
- **物业方起诉决定**：物业方称已掌握业主群内证据和依据，上午9:52与高级人民法院通话，并与滨城区人民法院沟通，本月正式起诉业委会，包括保洁业主代表。
- **起诉理由**：物业方称业委会从选举即存在违法行为，后期决策及在业主群煽动均不符职责，另有撬门行为；以阻碍正常经营、造成经济损失为由起诉。
- **业主方反诉**：业主方称物业窥探业主隐私，只要物业起诉即反诉并拿出证据。
- **诉讼影响**：物业方称起诉过程可能影响业委会成员个人经营；案件存续期间无法更换物业公司。
- **业委会合同主张**：业主方称业委会成立之日即自动解除与物业的合同关系。
## 现场争执与调解
- **物业经理言论争议**：业主方称进贼时联系物业经理，对方第一句即问「你交物业费了吗？没交物业费不给你服务」，并称「不交物业费上你家吃饭去」；物业方要求拿出录音，业主方称物业经理已承认「上你家吃饭」。
- **调解建议**：发言者3建议物业拿出真实行动赢得业主信任，双方互相体谅，避免矛盾激化；物业方称已多次明确表态，业主欠费100多万，要求回款40万即修部分问题。
- **物业方态度**：物业方称公司现状运营困难，不止一次与业委会沟通并留存录像；发言者7称「心里不想去了」，但强调群内信息均已知晓。
- **业主方态度**：发言者4称已无调解必要，物业不承认遗留问题、不会解决，基本决议为换掉物业；发言者5称99%业主支持其个人看法。
- **会议结果**：发言者2称今天结果不理想，矛盾隔阂越来越深，未解决实质性问题；发言者3建议办事处再努力协调，双方都是为了工作，没必要把个人牵扯进来。
## 结论与决定
- **业主方决定**：正常推进业主大会，由全体业主表决物业去留；业主方表示物业可起诉，业主方按自身流程推进。
- **物业方决定**：本月正式起诉业委会，以阻碍正常经营、造成经济损失为由；已与集团法务及高级人民法院、滨城区人民法院沟通。
- **未达成一致**：双方就业主大会能否在诉讼期间召开、物业费欠费与服务质量责任归属、物业合同是否自动解除等问题未达成一致。
## 行动项与分工
- **物业方**：本月内完成起诉手续，集团法务今日操作相关手续。
- **业主方**：正常推进业主大会召开流程。
- **物业方**：可公开查账，供业主核实经营收支情况。
## 待确认与风险
- **业主大会召开受阻风险**：物业方起诉可能导致诉讼期间业主大会无法召开，双方对此存在分歧。
- **欠费与服务恶性循环**：业主欠费170多万，物业无资金维修，服务不改善则业主更不愿缴费，矛盾持续加深。
- **治安风险**：北边围墙缺口未封闭、监控几乎全部损坏，社会人员可随意进出小区，上月已发生进贼事件。
- **雨水倒灌风险**：问题自2019年未解决，明年大雨可能再次造成业主财产损失。
- **隐私争议**：业主方质疑物业窥探业主隐私，物业方称已截屏留存业主群动态作为证据，双方将进入诉讼程序。</t>
        </is>
      </c>
      <c r="D5" s="10" t="n">
        <v>75.09999999999999</v>
      </c>
      <c r="E5" t="inlineStr">
        <is>
          <t>21511/5566</t>
        </is>
      </c>
    </row>
    <row r="6" ht="13.5" customHeight="1" s="9">
      <c r="A6" s="6" t="inlineStr">
        <is>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is>
      </c>
      <c r="B6" s="2" t="inlineStr">
        <is>
          <t>工作研讨会</t>
        </is>
      </c>
      <c r="C6" t="inlineStr">
        <is>
          <t># 研讨背景与议题
本次圆桌论坛由发言者2主持，围绕具身智能领域的关键技术问题展开，多位嘉宾与博士生参与讨论。发言者2代表多模态大模型与具身智能融合方向，并介绍雄辉（于洋老师博士生，强化学习方向）、薛寒（卢策武老师博士生，数据收集与柔性物体操作方向）、志龙（于洋老师博士生，具身模型与世界模型方向）等博士生参与。研讨旨在探讨具身智能的大模型架构、硬件形态、世界模型定义、策略学习路线及数据采集等核心议题，各方观点碰撞，未形成统一结论。
- **具身智能大模型架构**：讨论端到端模型与分层模型（如固定前段加Action refiner）的优劣，以及大模型是否应从感知到控制全链路统一。
- **具身智能硬件形态**：探讨具身智能的物理载体最终收敛为人形机器人还是特种机器人形态，以及硬件对算法发展的支撑与期待。
- **世界模型的定义与实现路径**：讨论强化学习领域与计算机视觉领域对世界模型的不同理解，以及是否需要三维归纳偏置、是否应统一模型。
- **强化学习与模仿学习的路线之争**：探讨未来策略学习最终路线是强化学习、模仿学习还是两者混合，以及各自在数据、仿真、落地方面的瓶颈。
- **数据采集与仿真数据**：讨论真机数据与仿真数据的成本、质量与规模化路径，以及互联网视频数据、可穿戴设备、无标注数据等新数据来源的可行性。
- **国产仿真系统**：探讨中国具身智能仿真是否强依赖英伟达生态，以及国产替代产品的可能性。
# 核心观点
## 硬件形态与模型收敛
- **发言者3（机械领域视角）**：提出具身智能硬件形态的收敛问题——是像人一样的人形机器人，还是像科幻片中可变形的大方块；机械领域存在「机械智能」思路，如软手通过强摩擦和顺应性，在抓取误差较大时仍能抓牢。
- **发言者4（博士生）**：硬件需高寿命与高可靠性；具身智能训练中模型预测失误易导致机器人撞桌损坏，现有工业机械臂并非为此设计，需要个人柔顺的硬件结构以支持大规模真机评估的scale up。
- **发言者2（主持人）**：具身智能是软硬件协同优化的范式；以松灵两代产品为例，第二代在遥操与策略部署上明显优于第一代；与任老师合作的凝胶夹爪可反馈触觉、增加摩擦力，体现协同进化。
- **发言者5（嘉宾）**：若大模型从上到下直通，会消除硬件迭代的可能性——新硬件（如软体机器人）出现时大模型需完全重新训练；模型至少应分大脑与小脑两层，大脑不变、小脑adaptive到肢体（以手断后大脑仍能指挥右手泡咖啡为例）。
- **发言者6（嘉宾）**：从第一性原理出发，人形机器人因现实环境（桌椅等）为人而设计必然存在，可能是双足或轮式并配灵巧手（引马斯克采访：公司花一半精力做22自由度灵巧手）；特种机器人在工业制造中已大量存在（车厂、微电子制造厂机械臂实现97%以上自动化），两类将并存。
- **发言者7（嘉宾）**：从产业角度预测具身智能融资将经历四波——第一波后过完年进入低谷，第二波接近自动驾驶融资规模，第三波接近大模型规模，第四波接近互联网规模；每波技术变革将深刻改变具身大模型硬件与云端模型形态，时间取决于技术突破。
## 世界模型的定义与实现路径
- **发言者8（博士生，强化学习视角）**：世界模型概念可回溯至1990年强化学习之父Sutton的Dyna-Q文章，本质是黑盒、输出下一时刻观测，第一要义是**可交互**（最终目的是学策略）；2018年Schmidhuber与杨立昆定义的世界模型含表征与转移两个组件；当前世界模型在物理规律体现上欠缺明显，希望引入3D、触觉等多模态信息完善。
- **发言者7（嘉宾，CV视角）**：CV界共识是计算机视觉发展多年就是为了动态重建物理世界，可作为RL世界模型的被调用工具；但三维CV技术栈深，RL博士生难以完全学习，导致RL领域不太关注三维表征——这是学术发展阶段导致的现状。
- **发言者7（嘉宾）**：提出数据规模与归纳偏置（inductive bias）的权衡——数据足够多时需要的归纳偏置变少，数据少时需要的更多；以ImageNet、GPT的成功说明大规模学习可不需要归纳偏置，以UniSim说明当前仍需3D归纳偏置；学术发展呈螺旋前进，世界模型是否需要3D归纳偏置最终由数据决定。
- **发言者5（嘉宾）**：以游戏主角跳楼与真人cosplay为例——两者观测完全相同但结局不同（游戏稳落地、现实死亡），世界模型无法同时acquire两个dynamics，因这是完全歧义的问题；**世界模型可能无法统一（应是多个），但policy有可能统一**，因为人作为同一policy既能玩游戏也能在现实中避免跳楼。
- **发言者9（嘉宾）**：提出反对意见——强化学习的世界模型是任务导向的，目标只是更好学策略（产生latent state或reward即可），CV世界模型做得足够好可用于强化，但为解强化任务未必需要；针对发言者5的歧义问题，提出不同物理结构可有相同统一表征、policy能识别condition则world model也能识别的反例。
- **发言者5（嘉宾）回应**：加condition后问题变成复杂度权衡——M个独立世界模型 vs 一个高维可控condition的世界模型，从可实现角度M个模型更简单；目前没有atari game能靠一个world model建模所有游戏；policy可通过更长的observation窗口隐式体现condition，但用GPT模型回归atari games大概率是强记。
## 强化学习与模仿学习的路线之争
- **发言者10（业界嘉宾）**：公司采用模型强化加机理融合方式；监督学习在具身任务中动作空间大、数据分布远不足以支撑高维动作，强化学习强依赖仿真环境、纯RL路线难以做到sim-to-real迁移；需将RL的决策空间与任务设定（state-action对）做很好限定，如上层RL做决策、底层用MPC或DWA等传统方法执行，实际部署中能提升整体性能。
- **发言者9（嘉宾）**：同意混合方式，不认为收敛到最后强化或模仿能单独完成；复杂问题历史规律都是先模仿后强化（如AlphaStar、GPT）——from scratch跑强化样本复杂度不可接受，人类模仿提供的先验信息没有坏处；单独模仿不行（人类行为不一定最优解，需强化达到superhuman），单独强化也不行（除非任务足够简单）。
- **发言者5（嘉宾）**：PID控制必有反馈（无反馈做不了控制），因此凡PID能做的系统必然有反馈，可完全拿该反馈作为强化学习执行过程中的reward；过去用PID效果不够好，现在通过强化做得更好。
- **发言者11（嘉宾）**：模仿学习与强化学习并不冲突——学人类运动先验可用基于强化学习的DeepMind Motion Matching，也可用模仿学习；有现成数据就从模仿学习角度做，没有数据（如复杂运动）就先用RL获取再以BC形式建模latent；有了latent后完成任务可通过RL快速找到对应latent。
## 数据采集与仿真数据
- **发言者11（嘉宾）**：数据质量关键在于视角控制与标定——Open X等数据集融合多家数据、相机视角无法固定，而视角非常影响policy表现；手眼标定看似已解决但至今仍有人在发文章、解决得不好；Open X等数据集只捕捉本体信息（末端、关节角度、力矩），缺少物体运动，OpenLink从采集出发必须记录物体运动（当时设备有限只能采集刚体和关节体）。
- **发言者4（博士生）**：all in真实数据采集路线；柔性体操作（叠衣服、系鞋带、拉拉链）现有仿真需IPC等先进图形学技术、算力要求高且掌握者少（如UCLA蒋正凡夫），进展缓慢；真实数据是相对低成本方案——「真实世界本身就是最好的仿真器」。
- **发言者4（博士生）**：现有采集方式难以scale——派林收集1万小时数据，即使融资再多一两个数量级也达不到GPT-2、GPT-3级别；终极形态可能是脑机接口或机电方式无感采集多模态数据，现阶段可通过可穿戴设备在人们日常做事时采集；互联网视频数据与机器人所需数据差异大——网上教叠衣服的视频都是平铺状态，但机器人见到的是从洗衣机拿出揉成一团的状态，人类习以为常的简单事恰恰是机器人最缺的数据。
- **发言者2（主持人）**：互联网数据在数据金字塔最底层、质量低——本人受ego4d数据集「毒害」，清洗耗时三个月；仿真数据可弥补真实数据不足——300条仿真数据训出的策略直接去真实世界成功率很低，但300条仿真数据加20条真机数据成功率显著提升（用很原始的fine-tune方法）；仿真数据可包含物体随机位置、随机orientation、任意初始状态。
- **发言者7（嘉宾）**：真实数据还是仿真数据应case by case看成本——室内服务机器人真机数据收集有可行性，但自动驾驶corner case让人去「鬼探头」太危险；**提出2025年应迈向大规模利用无标注真实数据**（如segment anything、depth anything），不再讨论真实与仿真有标注数据的比例问题（1:9、2:8、5:5等观点已过时）。
- **发言者7（嘉宾）**：国产仿真系统是产业问题——宋应等团队赌会被卡脖子、做国产替代，business by business是很好的生意；技术上最终会比较统一，但business上很复杂，取决于是否脱钩卡脖子。
# 达成共识与解决方案
**未形成统一结论**。本场研讨围绕具身智能的硬件形态、世界模型、策略学习路线与数据来源四个议题展开，各方观点存在明显分歧，未达成一致意见。但讨论中形成了若干倾向性认识与主流意见，具体如下：
## 硬件形态与模型架构
- **软硬件协同优化**：发言者2提出具身智能是软硬件协同优化的范式，以松灵产品两代迭代为例，第二代在遥操与策略部署上优于第一代；夹爪加凝胶后可反馈触觉、增加摩擦力，说明硬件改进能提升算法性能。
- **模型分层而非统一**：发言者5主张大模型不应从上到下完全统一，至少应分大脑与小脑两层——大脑保持稳定，小脑需适应肢体变化（以手断后大脑仍能工作、小脑需适应新构型为例）；发言者6认为当前多模态大模型微调方案不是终极形态，世界模型可能更接近人脑水平，但人形与特种机器人将并存。
- **硬件可靠性要求**：发言者4提出具身智能实验用硬件需高寿命、高可靠性，现有工业机械臂易因模型预测失误撞坏，难以支撑大规模真机评估，需个人柔顺硬件结构支持scale up。
## 世界模型
- **两领域定义差异**：发言者8指出强化学习领域世界模型概念源于1990年Dyna-Q，核心是可交互性（输入观测与动作、输出下一时刻观测）；发言者7认为CV界世界模型追求动态重建物理世界，可作为RL世界模型的工具，但当前技术不成熟，且RL与CV关注点不同——RL更端到端，CV更关注解耦表征。
- **数据规模与归纳偏置权衡**：发言者7提出数据规模与归纳偏置存在权衡——数据充足时归纳偏置需求减少，数据稀缺时需要更多归纳偏置；以ImageNet、GPT成功说明大规模学习可减少归纳偏置，而UniSim等新模型仍需三维归纳偏置。
- **世界模型统一性存疑**：发言者5认为世界模型可能无法统一，因存在歧义问题（游戏与物理世界观测相同但动力学不同）；发言者9认为强化学习的世界模型是任务导向的，CV世界模型并非必要，但不同物理结构可共享统一表征。
## 策略学习路线
- **混合路线倾向**：发言者10表示公司采用模型强化加机理融合方式，因监督学习数据分布不足以覆盖高维动作空间，纯强化学习强依赖仿真环境且难以迁移；发言者9认为复杂任务应先模仿后强化，单独模仿无法超越专家水平，单独强化样本复杂度不可接受，但工程手段可解决先模仿后强化可能带来的问题。
- **反馈作为奖励信号**：发言者5提出PID控制必有反馈，可将其作为强化学习在执行过程中的奖励信号，这是真机强化学习reward获取的可行路径。
- **模仿与强化不冲突**：发言者11认为两者并非本质冲突，可先通过模仿学习或强化学习获取运动先验（latent），再通过强化学习完成任务。
## 数据采集与仿真
- **仿真数据加少量真机数据**：发言者2提出仿真数据可弥补真机数据不足——300条仿真数据训出的策略直接部署真机成功率很低，但加上20条左右真机数据后成功率显著提升；仿真数据可覆盖物体随机位置、朝向与初始状态。
- **数据质量关键要素**：发言者11强调数据采集时视角控制与标定至关重要（手眼标定至今仍有文章在解决），且必须记录物体运动而不仅是本体信息；发言者2指出互联网数据质量低，ego4d数据集清洗耗时三个月。
- **真实数据规模化路径**：发言者4认为真实数据是低成本方案（相比高性能仿真算力），但现有采集方式难以达到GPT-3级别数据量；提出终极形态是脑机接口或机电方式无感采集多模态数据，现阶段可穿戴式设备是可行方案；互联网视频数据与机器人所需数据差异大（如叠衣服场景，网上视频多为平整状态教学，机器人需处理从洗衣机取出揉成一团的初始状态）。
- **无标注数据利用**：发言者7提出2025年应大规模利用无标注真实数据（如segment anything、depth anything），不再局限于讨论有标注真实数据与仿真数据的配比。
# 未决分歧与后续探索
## 硬件形态与模型架构
- **具身智能硬件形态收敛方向**：发言者3提出疑问，具身智能身体最终收敛为人形机器人还是科幻片中可变形形态；发言者6认为人形机器人与特种机器人将并存——人形因现实环境为人设计而存在，特种机器人在车厂、微电子制造厂等场景已实现97%以上自动化；发言者7从产业角度预测，未来三至四波技术变革将深刻改变具身大模型的硬件与云端模型形态，具体形态暂时无法预测。
- **大模型是否应从上到下统一**：发言者5主张不应是单一模型贯通最上至最下，至少应分大脑与小脑两层——以手断后大脑仍能工作、小脑需适应肢体变化为例，认为小脑应adaptive到肢体，而非更换大脑；发言者6认为当前多模态大模型微调方案不是终极方案，世界模型可能更接近人类水平，但人脑新架构出现前难以预测最终形态。
- **硬件可靠性需求**：发言者4提出具身智能实验需要硬件高寿命与高可靠性，现有工业机械臂并非为大规模真机评估设计，撞几次即损坏，难以可靠scale up，需要个人柔顺的硬件结构支撑规模化评估；发言者2认为具身智能是软硬件协同优化范式，以松灵两代产品对比说明硬件迭代提升遥操与策略部署效果，凝胶夹爪可反馈触觉且抓取更稳。
## 世界模型定义与实现路径
- **世界模型是否需要三维归纳偏置**：发言者7认为CV界世界模型追求重建物理世界，可作为RL世界模型的工具，但当前技术不成熟；三维表征技术栈深，RL博士生难以完全学习，导致RL领域不关注三维表征；发言者7提出数据规模与归纳偏置的权衡——数据多时归纳偏置需求减少，数据少时需求更多，并称梦想写一篇题为data bias trade off的论文；发言者8从强化学习角度指出世界模型第一要义是可交互，源于1990年Dyna-Q，当前世界模型在物理规律体现上欠缺明显。
- **世界模型能否统一**：发言者5认为世界模型可能无法统一——以游戏主角跳楼与物理世界跳楼结局不同为例，相同观测对应不同dynamics，存在完全歧义问题，M个独立世界模型比一个高维可控condition模型更可实现；发言者9提出反例，认为不同物理结构可有相同统一表征，policy能识别condition，世界模型为何不能；发言者5回应称加condition后工程难度高，用GPT模型回归atari games大概率是强记；发言者9认为强化学习的世界模型是任务导向的，CV世界模型并非必要，只要有助于学策略即可。
## 强化学习与模仿学习路线
- **最终策略学习路线**：发言者10表示公司采用模型强化加机理融合方式，因监督学习数据分布远不足以覆盖高维动作空间，纯强化学习强依赖仿真环境、sim-to-real迁移困难，需将强化学习决策空间与任务设定限制好，上层用强化学习做决策、底层用MPC或DWA等传统方法执行；发言者9认为复杂任务应先模仿后强化，单独模仿无法达到专家水平（除非任务即专家行为），单独强化样本复杂度不可接受，先模仿再强化不会导致强化效果变差，工程手段可解决；发言者11认为模仿学习与强化学习并无本质冲突，运动先验有数据可用模仿学习获取，无数据可用强化学习生成，再通过强化学习完成任务。
- **真机强化学习的奖励获取**：发言者2提出真机复杂任务中reward如何获取的问题，仿真中有上帝视角，真机上detection与传感器有偏差；发言者5回应称PID控制必有反馈，所有PID能做的系统必然有反馈，可完全拿该反馈作为强化学习的reward，过去PID效果不够好，现在通过强化可做得更好。
## 数据采集与仿真
- **真实数据与仿真数据比例**：发言者7认为应case by case看成本，室内服务机器人真机数据收集有可行性，自动驾驶corner case收集危险；发言者7提出2025年应迈向大规模利用无标注真实数据，如segment anything、depth anything，不再讨论真实与仿真有标注数据的比例问题。
- **数据采集规模化方案**：发言者4主张真实数据是低成本方案，现实生活是最好的仿真器，但现有采集方式即使多一两个数量级也难以达到GPT-2、GPT-3级别数据量，终极形态可能是脑机接口或机电方式无感采集多模态数据，现阶段可穿戴式设备在人们做事过程中采集是较能scale的方案；发言者4指出互联网视频数据与机器人所需数据差异大——网上教叠衣服的视频是平铺状态，机器人需要的是从洗衣机取出揉成一团再展平的数据，常见易完成的事情恰是机器人最缺的数据。
- **数据质量与视角控制**：发言者11强调采集数据时视角控制与标定非常重要，open X等数据集相机视角无法固定、影响policy表现，且只捕捉本体信息、缺少物体运动，orkin从采集角度出发必须记录物体运动，设备有限时只能采集刚体和关节体。
- **仿真数据与真机数据结合**：发言者2表示用仿真生成300条数据训完策略直接去真实世界测试成功率很低，但300条仿真数据加20条左右真机数据成功率显著提升，方法只是pretrain一个model再用真机数据微调；发言者2指出柔性物体仿真并非解决不了，而是图形学领域认为机器人布料模拟不够格发顶会、看不上这类研究，机器人领域又不懂相关计算，未来可能有发展。
- **国产仿真系统能否替代英伟达生态**：发言者2提出中国是否强依赖英伟达生态的问题；发言者7回应称有朋友宋应赌会被卡脖子、在做国产替代，这是business层面的复杂问题，技术上最终会比较统一，但工作人员不会直接touch这个生意。</t>
        </is>
      </c>
      <c r="D6" s="10" t="n">
        <v>79.5</v>
      </c>
      <c r="E6" t="inlineStr">
        <is>
          <t>21458/7867</t>
        </is>
      </c>
    </row>
    <row r="7" ht="13.5" customHeight="1" s="9">
      <c r="A7" s="6" t="inlineStr">
        <is>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is>
      </c>
      <c r="B7" s="2" t="inlineStr">
        <is>
          <t>庭审记录</t>
        </is>
      </c>
      <c r="C7" t="inlineStr">
        <is>
          <t># 庭审概况
本案系上诉人国家开发银行与被上诉人云南东源电力股份有限公司、云南东源曲靖电力有限公司、招银金融租赁有限公司金融借款合同纠纷二审，由最高人民法院公开开庭审理，审判长李少平，合议庭成员魏文超、黄年、王海峰、葛洪涛，法官助理张瑞。庭审围绕三个争议焦点进行审理：国开行抵押权是否构成善意取得、罚息复利计算及起算日期、东源煤电与东源煤业是否应连带给付违约金。各方充分发表辩论意见后，合议庭休庭评议并提出调解方案，各方均无异议，自愿达成调解协议，法院予以确认并出具调解书。
# 原告诉称与被告辩称
| 方 | 诉讼请求/答辩意见 | 事实与理由 |
| --- | --- | --- |
| 上诉人（国开行） | 请求撤销一审判决，改判支持其抵押权、罚息复利及违约金主张 | 主张抵押设备为通用设备，无唯一标识码，已对抵押人曲靖电力公司进行融资租赁登记查询且无结果，构成善意取得；利息计算至2017年12月20日，罚息自2018年6月13日发函要求还款之日起算，复利按合同第6条第4款约定计算；依据借款合同第24条第3项，被上诉人违约应支付千分之一违约金，且东源煤电未配合办理账户管理及柜台前移手续。 |
| 被上诉人（东源煤电、东源煤业、曲靖电力） | 请求驳回上诉，维持一审判决 | 主张2015年12月2日邮件附件《东源公司融资情况统计表》已用红色标注抵押设备与招银租赁设备名称相同，国开行未尽注意义务；合同约定应限期偿还而非立即偿还，国开行未给予合理期限；罚息不应作为复利计算基数；国开行未举证证明违约行为，且未按合同约定先行限期纠正，无权主张违约金。 |
| 被上诉人（招银租赁） | 请求驳回上诉，维持一审判决 | 主张国开行提供的是2018年9月查询证书而非2015年12月抵押时点查询结果，不符合人行规定；国开行审查义务应扩展至东源煤电；东源煤电出资行为系无权处分，招银租赁2012年已取得设备所有权；国开行未在抵押时点查询登记系统，不构成善意取得。 |
# 举证与法庭调查
## 举证与质证
- **国开行提交**：2018年9月对曲靖电力公司的融资租赁查询证书，证明其已尽查询义务；东源方质证认为该证书不符合要求，根据2014年93号中国人民银行规定，国开行应在抵押时点（2015年12月）进行查询。
- **国开行提交**：证据54页、58页东源煤电公司、曲靖电力公司对设备的权属证明材料和股东会决议，证明抵押设备所有权属曲靖电力公司；招银租赁未对该组证据提出实质性质证意见。
- **国开行提交**：证据108页融资租赁登记核查表，证明其已对曲靖电力公司名下融资租赁登记进行核查；招银租赁质证认为核查范围应扩展至东源煤电。
- **招银租赁提交**：一审证据第7页回租设备清单，载明设备名称、生产厂家，但未载明型号；国开行质证认为该清单无法证明设备唯一性，且清单记载出厂日期为2012年3月1日，与国开行现场调查核实的铭牌生产日期（2013年11月、12月、2014年3月）不符。
- **招银租赁提交**：2013年、2015年审计报告（证据82页、95页），载明曲靖电力公司注册资本4亿元已实缴；国开行质证认为该报告已载明设备出资事项，招银租赁应当知道设备出资情况。
- **东源方提交**：2015年12月2日邮件及附件《东源公司融资情况统计表》，证明已告知国开行抵押设备存在融资租赁情况；国开行质证认为该邮件系贷后审查材料，统计表中招银租赁栏记载抵押类型为不动产抵押，与本案融资租赁是两个法律概念，不能证明已履行告知义务。
## 证人/鉴定陈述
未提及
## 法官询问
- **审判长询问**：各方如何理解中国人民银行征信中心融资租赁登记的性质及法律后果？国开行认为属行业强制规范，目的是防范金融风险；东源方认为属行业指导性规范，不当然产生物权后果；招银租赁认为非物权登记，但具有对抗效力。
- **审判员询问**：央行融资租赁登记系统有几种查询方式？国开行称仅能通过查询单位名称查询；招银租赁称可通过公司名称或设备信息查询，但设备查询涉及种类物区分问题。
- **审判员询问**：案涉5套设备登记时是否登记了唯一识别码？招银租赁称设备无唯一识别码，未登记；东源方补充称初始登记时将租赁物清单作为附件上传，清单载明设备名称、数量、原值、净值、出厂时间、生产厂商及存放地点。
- **审判员询问**：国开行贷款前风控资料中是否有内部规定要求必须查询融资租赁登记，未查到也需保留记录？国开行称无此规定，因未查询到结果故未保留记录。
- **审判员询问**：融资租赁登记系统中设备唯一标识码是否必填项？招银租赁称非必填项，案涉设备无唯一识别码。
- **审判员询问**：设备安装后发电机上是否有唯一标识码？招银租赁称铭牌上仅有型号和参数，同型号设备铭牌相同。
- **审判员询问**：违反查询规范在多大程度上导致融资租赁司法解释第9条第2款法律后果，是基本查询义务还是全面审慎义务？国开行认为系基本义务，仅需对抵押人查询；招银租赁认为系严格义务，未查询即不构成善意。
- **审判员询问**：若银行通过其他途径知晓动产属融资租赁物，是否无需查询？国开行认为基本义务仍需履行；东源方认为仍需查询以确认权属；招银租赁认为必须通过央行系统查询，因其他方式无法证明。
- **审判员询问**：融资租赁司法解释第9条第2款举证责任如何分担？国开行认为按谁主张谁举证原则；招银租赁认为第1、2、4项由出租人举证，第3项由第三人（国开行）举证。
- **审判长询问**：对因不同登记机构产生的登记信息冲突有何意见和建议？国开行认为系系统性问题，建议整合信息；东源方称非专业机构，无成熟建议；招银租赁建议从立法、行业协会、技术操作三层面改进。
## 争议焦点与辩论
### 争议焦点一：国开行抵押权是否构成善意取得
- **国开行主张**：抵押设备为通用设备，无唯一标识码，无法通过设备查询融资租赁登记；其已对抵押人曲靖电力公司进行查询且无结果，尽到审慎义务，构成善意取得。
- **东源方主张**：2015年12月2日邮件附件《东源公司融资情况统计表》已用红色标注抵押设备与招银租赁设备名称相同，国开行作为专业金融机构应尽注意义务，进行适当核查。
- **招银租赁主张**：国开行提供的是2018年9月查询证书，而非2015年12月抵押时点查询结果，不符合人行规定；国开行审查义务应扩展至东源煤电，因其系借款人及抵押人全资控股母公司。
- **东源方补充**：东源煤电出资行为系无权处分，因招银租赁2012年已取得设备所有权；设备交付到货即取得所有权，招银租赁在交付时点已获所有权。
- **国开行反驳**：融资租赁登记系行业规范，非物权登记；其审查义务仅限于抵押人曲靖电力公司，不能任意扩大至关联企业。
### 争议焦点二：罚息复息计算及起算日期
- **国开行主张**：利息计算期间为2017年12月21日至2018年6月12日，利息合计21,795,727.68元；罚息自2018年6月13日起算至2019年2月19日，罚息41,050,579.57元；复利自2018年3月21日起算至2019年2月19日，复利1,918,206.23元。
- **东源方主张**：合同约定应限期偿还而非立即偿还，国开行未给予合理期限；罚息不应作为复利计算基数，依据《人民币利率管理规定》第21条及最高院判例；复利再计算复利无合同依据。
- **国开行反驳**：东源煤电已严重违约且无履约能力，讨论合理期限无意义；合同第6条第4款明确约定对逾期借款利息按罚息利率计收复利，且东源煤电未上诉，一审已支持罚息复利。
- **东源方再反驳**：合同条款存在歧义，应作不利于格式合同提供方（国开行）的解释。
### 争议焦点三：东源煤电、东源煤业是否应连带给付违约金
- **国开行主张**：依据借款合同第24条第3项，被上诉人违约应支付千分之一违约金；东源煤电未按合同第13条、第14条配合办理账户管理及柜台前移手续。
- **东源方主张**：国开行未举证证明东源煤电存在违约行为，举证不能后果应由其承担；国开行未按合同约定先行发出限期纠正函，无权直接主张违约金。
# 庭审结果
本案经调解结案，各方自愿达成调解协议，法院予以确认并出具调解书。调解方案主要内容：①国开行对东源煤电的债权扣除破产清偿本金后，利息、罚息、复利合计6474.4513万元；②招银租赁对涉案6项设备享有所有权，对应债权数额1377.4137万元；③国开行对93项设备有抵押权，招银租赁对6项设备有所有权，双方对案涉全部发电设备整体盘活处置，变现款各得50%；④调解书生效后20日内，国开行向一审法院申请执行，启动司法处置程序；⑤若司法变现不能，国开行和招银租赁放弃对案涉设备权益，由东源曲靖电力自主生产经营；⑥东源曲靖电力承担案涉设备管理费用并无条件配合司法处置；⑦一审判决第2项、第4项无争议，按判项内容确认；⑧二审诉讼费用由国开行和东源煤电各承担50%。</t>
        </is>
      </c>
      <c r="D7" s="10" t="n">
        <v>86.2</v>
      </c>
      <c r="E7" t="inlineStr">
        <is>
          <t>28485/3726</t>
        </is>
      </c>
    </row>
    <row r="8" ht="13.5" customHeight="1" s="9">
      <c r="A8" s="6" t="inlineStr">
        <is>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is>
      </c>
      <c r="B8" s="2" t="inlineStr">
        <is>
          <t>项目进度会</t>
        </is>
      </c>
      <c r="C8" t="inlineStr">
        <is>
          <t># 项目概况
本次会议为原占比二玉米面加工厂项目中期验收会议，由验收组代表王总主持并汇报。验收组于18、19号提前介入，20号召开首次会议，对卢萨卡、蒙泽两点开展内业与外业检查。卢萨卡点已完成除带料调试以外的所有验收工作，蒙泽点利用现场资源顺带完成全部验收（含带料调试），姆皮卡点现场验收尚未开展，其内业资料已提前送至卢萨卡。内业检查分管理组和技术组，按合同及规范执行，项目执行团队人员基本在岗，内业资料基本满足标准要求，但分类整理和签字规范性需完善；竣工文件基本达到组卷成册要求，但资料分散，需汇总至卢萨卡。外业检查分建筑、安装、设备三部分：建筑部分原材料集中采购、质量良好，但局部有损伤和排水需检查；安装部分钢结构合格，但监控管线接头有脱落；设备部分运行正常，产能符合设计指标；蒙泽厂区混凝土路面有少量开裂。财务检查符合规范，中基公司无挪用资金情况。验收组提出整改要求，管理组田组长和技术组龚总承诺会后落实，合作局领导金昌柱要求出报告前完成整改并复核。项目有动用不可预见费情况，需完善证据资料，后续专项对接。
# 进度追踪
| 模块 | 进展 | 状态 |
| --- | --- | --- |
| 卢萨卡点验收 | 已完成除带料调试以外的所有验收工作 | ✅已完成 |
| 蒙泽点验收 | 利用现场资源顺带完成全部验收，含带料调试，工艺设备运行正常，产能符合设计指标 | ✅已完成 |
| 姆皮卡点验收 | 现场验收尚未开展，内业资料已提前送至卢萨卡 | ⏸未开始 |
| 内业资料 | 基本满足标准要求，但分类整理和签字规范性需完善；竣工文件基本达到组卷成册要求，但资料分散，需汇总至卢萨卡 | 🔄进行中 |
| 外业检查-建筑 | 原材料集中采购、质量良好，但局部有损伤和排水需检查 | 🔄进行中 |
| 外业检查-安装 | 钢结构安装合格，但监控管线接头有脱落 | 🔄进行中 |
| 外业检查-设备 | 设备运行正常，工艺流程满足生产要求，产能符合设计指标 | ✅已完成 |
| 财务检查 | 账户设置、资金往来、银行开户等符合规范，中基公司无挪用资金情况 | ✅已完成 |
# 风险预警
| 风险/瓶颈 | 等级 | 影响 | 责任人 | 应对计划 |
| --- | --- | --- | --- | --- |
| 蒙泽厂区混凝土路面开裂 | 中 | 可能影响项目移交后使用，存在大面积开裂隐患 | 管理组、总包单位 | 分析开裂原因，制定科学合理的整改方案，出报告前完成整改并复核 |
| 监控管线接头脱落 | 中 | 可能引起机械故障 | 施工组 | 全面检查，保证有效性和安全性 |
| 卢萨卡点提升桶位置雨水倒灌 | 中 | 雨水可能倒灌，影响设备运行 | 施工组 | 检查并考虑增加覆盖面积或采取技术措施解决 |
| 人员履约资料不完善 | 中 | 个别人员进出场时间、护照及证件有效期需完善，影响验收报告闭合 | 管理组、技术组 | 完善人员统计和护照证书收集，与国内人力资源对接 |
| 内业资料分散 | 中 | 资料分散，未集中组卷，影响竣工文件归档 | 技术组 | 验收完成后第一时间将三个厂区资料汇总至卢萨卡，分类组卷及编码 |
| 姆皮卡点路途遥远、交通状况不佳 | 高 | 存在交通安全风险 | 验收组 | 注意交通安全，做好疫情防控 |
| 疫情及雨季影响 | 中 | 影响验收工作进度 | 验收组 | 注意疫情防控，雨季前完成排水检查 |
# 后续计划
- **会后整改**：管理组田组长承诺会后与技术组一起细化验收组提出的问题，制定方案并落实整改；技术组龚总承诺在验收完成后第一时间将三个厂区资料（含竣工图）汇总至卢萨卡，分类组卷及编码，并针对现场实体整改按方案逐一落实。
- **混凝土路面开裂整改**：合作局领导金昌柱要求管理组和总包单位共同分析开裂原因，制定科学合理的整改方案，*在出报告前完成整改*，验收组需进行复核。
- **资料汇总**：技术组需在验收完成后第一时间将三个厂区资料汇总至卢萨卡，分类组卷及编码。
- **不可预见费**：验收组将利用后续时间对不可预见费使用情况做专项对接，完善依据证据和数据，确保充分无误。
- **姆皮卡点验收**：会后将及时安排姆皮卡点现场验收工作，*该点路途遥远、交通状况不佳，需注意交通安全和疫情防控*。
- **成品保护**：在移交外方前继续做好成品保护，对破损部位及时修补。</t>
        </is>
      </c>
      <c r="D8" s="10" t="n">
        <v>51.9</v>
      </c>
      <c r="E8" t="inlineStr">
        <is>
          <t>11110/1846</t>
        </is>
      </c>
    </row>
    <row r="9" ht="13.5" customHeight="1" s="9">
      <c r="A9" s="6" t="inlineStr">
        <is>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is>
      </c>
      <c r="B9" s="2" t="inlineStr">
        <is>
          <t>新闻发布</t>
        </is>
      </c>
      <c r="C9" t="inlineStr">
        <is>
          <t># 发布会概况
本次中金宏观策略周会于周一上午以线上形式举行，由中金公司策略组刘刚凯文（Kevin）主持，面向投资者与客户。会议围绕海外市场与国内产业两大主线展开：海外部分重点解读“大美丽法案”对美国经济、美股美债及美元流动性的影响，并更新关税谈判进展与港股流动性分析；国内部分则聚焦“反内卷”政策对光伏行业的影响，以及人形机器人、游戏板块（AI应用）的结构性投资机会。公用事业风光首席分析师刘佳妮、机械军工分析师郭文秀、传媒行业首席分析师张雪琴分别就相关板块作专题分享。会议整体基调偏积极，认为美股美债波动提供再配置机会，同时建议在结构性行情中提前布局长期方向正确的板块。
# 核心信息
## 大美丽法案与美股美债展望
- **法案三大块**：提高债务上限约5万亿美元；延长2017年减税法案（非新增减税，避免年底自动大幅加税）；取消899条款（此前拟对海外投资者持有美债利息所得征税，取消后消除主权基金抛售美债担忧）。
- **财政收支测算**：延长减税每年额外支出约3400亿美元（合计3.4万亿美元），同时削减其他支出（含减少新能源补贴1.4万亿美元）；关税收入每年约3000–4000亿美元可覆盖额外支出，测算赤字率基本维持5%–6%，不会升至7%以上。
- **三季度流动性抽水**：债务上限提高后财政部需发债并回补TGA账户，预计额外供给约1万亿美元；参考2023年三季度发债1万亿美元推高美债利率从3.8%升至5%、美元走强、美股小幅下跌4%–5%，本次期限溢价已处2013年以来高位，利率上行幅度或不及2023年，但7–9月美元流动性边际收紧。
- **美股表现与信用周期**：纳斯达克自4月底底部反弹35%，市场对「股债汇三杀」「去美元化」担忧过度；信用周期框架下美国经济环比改善（低基数），中国面临高基数压力，四季度美元可能小幅走强、美股可能反弹跑赢。
- **配置建议**：美股美债波动提供再配置机会，不悲观但当前位置性价比不高；三季度需过坎包括大美丽法案流动性影响、关税、7月FOMC会议、7–8月通胀边际走高及中报业绩期。
## 关税政策更新
- **四点判断**：关税大概率实施以支撑收入；需维持一定税率（当前豁免10%水平即可收上来3000–4000亿美元）；税率不能过高否则通胀受不了；市场逐渐脱敏、静观其变，高税率威胁可能是谈判技巧。
- **有效税率测算**：当前有效税率约10%–12%；若8月1日关税全回去甚至提高，有效税率回到10%–15%，最极端约18%；对通胀影响有限，年底通胀可能升至3.3%–3.4%，不大幅改变通胀路径。
- **谈判进展与时间表**：原定7月9日达成的时间变相拖后；除巴西外大部分国家税率相比4月2日对等关税水平回落；加拿大、墨西哥、欧盟贸易占比高需单独谈妥，其他国家即便税率翻倍对有效税率影响很小（最高日本占比4.5%）。
- **对华关税与转口限制**：对华关税约40%–50%（2018年约20%为基数）；越南、英国达成的协议均含转口限制（越南转口限制40%），需关注8月12日中美谈判进展及转口限制影响。
## 港股流动性
- **流动性现状**：5月后微观流动性释放，HIBOR大幅下降（金管局投放大量资金），港币触及7.85弱方兑换保证；金管局不会放弃联系汇率制度（7.75–7.85区间），会小幅收紧（如收90亿、放1000多亿）以延缓利率收紧速度。
- **三季度流动性判断**：美元流动性供给压力（7–9月美债供给）叠加港币未完全回升，三季度流动性供给不如二季度；IPO融资较多也形成约束；港股指数在23000–24000区间震荡，上不去也下不来。
- **风格与配置**：长期方向仍是「两头分红」——银行股溢价已低于20%（除保险外扣税后股息率优势不大，短期透支），但相比国债利率仍有空间，短期12.5%是隐形底；成长端新消费较拥挤、创新药有所回落，科技硬件与AI应用拥挤度相比3月大幅下降，可提前布局创新药、人形机器人、AI应用、短视频生成、软件等方向。
## 反内卷与光伏行业
- **行业供需失衡**：全球新增光伏装机从2020年130GW增至2024年530GW（4年复合增速42%），2025–2026年增速预计回落至10%左右（基数变大、电网平衡制约）；2025年全球需求预计650–700GW，电池产能为需求1.5倍、硅片组件2倍、硅料2.5倍。
- **价格与盈利**：2022年以来产业链价格下跌70%–90%；硅片电池自2023年四季度亏损，硅料组件自2024年二季度亏损；持续亏损下尚未见企业退出，未来两年需求难以消化现有产能。
- **反内卷政策升级**：2024年5月17日光伏行业协会在工信部电子信息司指导下召开高质量发展座谈会（强调市场化手段+政府有形手）；2025年2月国常会提出化解重点产业结构性矛盾；6月29日起连续发声——`人民日报`发文《在破除内卷式竞争中实现高质量发展》、7月1日中央财经委第6次会议提出依法依规治理低价无序竞争、推动落后产能退出、7月3日工信部召开光伏企业座谈会；具体干预措施尚未披露。
- **硅料环节整合最迫切**：在产企业不到20家、集中度高；成本曲线最陡峭（丰水期边际现金成本约38元/公斤，颗粒硅约28元/公斤，尾部厂商高达45元/公斤）；供需比超200%（高于其他环节150%左右）；作为最上游影响全产业链定价。
- **价格与市场反应**：多晶硅期货价格上周五触及40元/公斤（前一周现货约35元），现货报价大幅上涨，前期已签订单执行力度增强；硅片报价上涨约10%、电池涨约2分钱；过去两周硅料和玻璃股价上涨20%–30%，组件涨幅约10%靠后；组件跟涨需观望下游电站招标（受136号文新能源全面入市影响电价不确定性增加）。
- **光伏玻璃产能出清**：2024年9月第一轮产能出清有效产能降幅约6%；协会呼吁降产保价，企业计划7月起降产30%，测算需出清约2万吨方可修复供需平衡；当前价格创历史新低，龙头企业经营性成本约1元/平方米，亏损幅度可能进一步加大。
- **穿越周期能力**：头部一体化组件企业可通过收现款再发货、占用上游账期获得正向经营现金流；低杠杆、强现金、强融资能力企业财务健康（部分资产负债率仅10%出头）；技术变革包括颗粒硅使用比例从10%–20%提升至50%、硅片薄片化与细线化、钨丝全面导入、电池浆料铜替代银（2025–2026年大规模导入）、TOPCon电池取代PERC（PERC基本退出市场，BC技术单月渗透率提升至5%–6%）。
## 人形机器人
- **二季度板块表现**：A股机器人板块4–6月按流通市值加权平均下跌约9%，跑输机械设备板块约12个百分点；特斯拉核心供应商标签股自3月高点普遍回调30%–40%；5–6月交易型资金止损明显；回调主因是特斯拉4月后宣布量产时间线后移叠加中美关税降低风险偏好。
- **华为链技术突破**：6月底华为开发者大会首发盘古世界模型（时空可控生成技术，首个支持点云和视频双模态同时生成的大模型，解决物理模型训练痛点）；CloudRobot平台构建三大能力——多模态生成模型（泛化训练环境）、规划大模型（复杂物理世界自主决策）、执行大模型（操作精度提升至毫米级）；华为明确「不造机器人」，以RTC方式开放，探索AI agent收费或license收费模式；工业喷涂机械臂、腔镜手术机器人、无人矿卡等上市公司已与华为云合作。
- **本土企业进展**：智元机器人拟通过收购材料厂商在A股上市（具备AI+双足及轮式人形机器人全栈能力），相关零部件厂商股价底部异动；宇树科技年收入突破10亿元，下半年有望加速上市；智元与宇树同时中标中国移动近1.2亿元人形机器人采购订单，将部署于移动营业厅与消费者互动；国内人形机器人本体厂商超100家，物流端降低单件运输成本是2025年下游明确刚需。
- **特斯拉延期与硬件替代**：Optimus存在电机过热、灵巧手负载不足、续航问题，特斯拉正在变更方案并筛选供应商；电机过热对应无框力矩电机散热改善新品发布，续航问题对应轻量化方向（以塑代钢、替代铝合金）；特斯拉暴露的硬件瓶颈是行业共性瓶颈，构成硬件替代窗口期。
- **港股估值与三季度信号**：二季度港股机器人板块PE、PS估值溢价明显（港股通纳入后享受全球科技资金关注），下半年港股板块确定性扩容，关注A+H动向；建议关注三类信号——华为云生态接入厂商三季度新增趋势、头部企业出货量跨越年化500台或1000台、电机硬件优化对应的零部件窗口。
## 游戏板块
- **政策与版号**：6月单月版号发放158个（国产147个、进口11个），为2018年以来单月最高；自去年四季度起版号每月正常发放，今年起每月同时发放国产与进口版号；国务院层面1月、3月发布游戏行业支持政策，广东、浙江、北京、上海等地出台专项政策包（含中小微企业奖励、数字内容文化产业出海支持、IP方向）。
- **市场规模**：2025年1–5月游戏市场规模同比增长17%（1400多亿元），手游同比增长20%；自2024年8月起单月持续正增长（版号停发时期增速曾降至零以下）。
- **新品周期**：年初市场预期今年缺乏大作（腾讯、网易重点产品较少，米哈游亦无重磅作品），但中型厂商新品成为A股、港股核心催化——吉比特《仗剑传说》5–6月上线首月流水2亿多元，巨人网络《超自然行动组》6月流水过亿（乐观年化约20亿元，利润提升50%以上）；中型厂商获客ROI普遍良好；三七《斗罗》等新品7月上线，网易、腾讯等大厂新品更多落在明年。
- **估值与展望**：游戏板块TTM PE约30倍，2025年静态PE约20倍（切明年更低），低于2023年AI行情时的45倍；新品利润有滞后性（今年上线新品利润明年兑现），表观估值不便宜但明年业绩确定性提供支撑；建议跟踪新品市场表现、用户获取下载榜排名等领先指标；板块自6月24日起半个月涨幅最猛，近期出现调整，判断为回调而非行情结束，在消费、政策、新品周期三重利好下有望调整后实现戴维斯双击。
# 官方表态
中金宏观策略周会由策略组刘刚凯文主持，围绕大美丽法案、关税政策、港股流动性、反内卷光伏、人形机器人及游戏板块等热点展开分析，并给出配置建议。大美丽法案方面，刘刚凯文指出法案提高债务上限约5万亿美元，延长2017年减税法案并取消899条款，延长减税每年额外支出约3400亿美元，减少新能源补贴1.4万亿美元，关税收入每年约3000-4000亿美元可覆盖额外支出，赤字率维持5-6%。三季度财政部发债约1万亿美元，可能推高美债利率，参考2023年三季度利率从3.8%升至5%。美股纳斯达克从底部反弹35%，市场对去美元化担忧过度，信用周期框架下美国经济环比改善，中国面临高基数压力。结论是美股美债波动提供再配置机会，四季度美元可能小幅走强，美股可能反弹跑赢。关税方面，刘刚凯文总结四点信息：关税大概率实施以支撑收入，需维持一定税率，当前有效税率约10-12%；若8月1日关税回升，有效税率可能回到10-15%，极端情况18%；对华关税约40-50%，越南转口限制40%，需关注8月12日中美谈判；关税对通胀影响有限，年底通胀可能升至3.3-3.4%。结论是关税是谈判技巧，市场逐渐脱敏，对经济影响可控。港股流动性方面，刘刚凯文分析港股5月后微观流动性释放，HIBOR大幅下降，港币触及7.85，金管局可能小幅收紧流动性，三季度流动性供给不如二季度，港股指数在23000-24000区间震荡，上行受限。港股银行股溢价低于20%，短期透支，但长期仍有空间。结论是港股流动性边际收紧，但基本面强可对冲，建议在合适位置布局长期方向。反内卷光伏方面，公用事业风光首席分析师刘佳妮指出全球光伏新增装机从2020年130GW增至2024年530GW，未来两年增速回落至10%左右；2025年全球光伏需求预计650-700GW，电池产能为需求1.5倍，硅片组件2倍，硅料2.5倍；2022年以来产业链价格下跌70%-90%，硅片电池2023年四季度亏损，硅料组件2024年二季度亏损。反内卷政策升级：6月29日人民日报发声，7月1日中财委会议，7月3日工信部座谈会。硅料环节集中度高，成本差距大，整合最迫切；多晶硅期货价格触及40元/公斤，现货价格上周大幅上涨；光伏玻璃第二轮产能出清，计划7月降产30%，需出清约2万吨；头部一体化组件企业穿越周期能力强，技术变革如颗粒硅使用比例提升至50%。结论是反内卷政策有望夯实行业底部，硅料环节整合最迫切，技术变革助力企业穿越周期。人形机器人方面，机械军工分析师郭文秀指出二季度A股机器人板块下跌约9%，跑输机械设备12个百分点，特斯拉标签股回调30%-40%；特斯拉量产时间线推迟，叠加中美关税，降低风险偏好；华为发布盘古世界模型和CloudRobot平台，构建多模态生成、规划、执行三大能力；智元机器人拟收购材料厂商在A股上市，宇树科技年收入突破10亿元，两家中标中国移动1.2亿元采购订单；特斯拉Optimus存在电机过热、灵巧手负载不足、续航问题，变更方案。建议关注华为云生态接入、头部企业出货量跨越500台/1000台、电机硬件优化三类信号。结论是三季度是迷茫期到商业兑现的过渡阶段，建议关注华为链、本土企业技术闭环、特斯拉延期带来的硬件替代机会。游戏板块方面，传媒行业首席分析师张雪琴指出6月版号单月发放158个（国产147个，进口11个），为2018年以来单月最高；2025年1-5月游戏市场规模同比增长17%，手游同比增长20%；吉比特《仗剑传说》首月流水2亿多元，巨人网络《超自然行动组》6月流水过亿，年化约20亿元；游戏板块TTM PE约30倍，2025年静态PE约20倍，低于2023年AI行情时的45倍；新品利润有滞后性，今年新品利润明年兑现。结论是游戏板块在消费、政策、新品周期三重利好下，调整后有望实现戴维斯双击。
# Q&amp;A环节
**1. 记者（人民日报 张宇）**：大美丽法案对美元流动性、美股美债及港股流动性具体有何影响？
**刘刚凯文**：大美丽法案提高债务上限约5万亿美元，延长2017年减税法案并取消899条款。延长减税每年额外支出约3400亿美元，减少新能源补贴1.4万亿美元，关税收入每年约3000-4000亿美元可覆盖额外支出，赤字率维持5-6%。三季度财政部发债约1万亿美元，可能推高美债利率，参考2023年三季度利率从3.8%升至5%。美股纳斯达克从底部反弹35%，市场对去美元化担忧过度。信用周期框架下美国经济环比改善，中国面临高基数压力。结论是美股美债波动提供再配置机会，四季度美元可能小幅走强，美股可能反弹跑赢。港股流动性边际收紧，但基本面强可对冲，建议在合适位置布局长期方向。
**2. 记者（新华社 李明）**：关税政策后续走向及对通胀的影响如何？
**刘刚凯文**：关税大概率实施以支撑收入，需维持一定税率，当前有效税率约10-12%；若8月1日关税回升，有效税率可能回到10-15%，极端情况18%；对华关税约40-50%，越南转口限制40%，需关注8月12日中美谈判；关税对通胀影响有限，年底通胀可能升至3.3-3.4%。结论是关税是谈判技巧，市场逐渐脱敏，对经济影响可控。
**3. 记者（财新 王芳）**：反内卷政策对光伏行业各环节的影响及投资机会如何？
**刘佳妮**：全球光伏新增装机从2020年130GW增至2024年530GW，未来两年增速回落至10%左右；2025年全球光伏需求预计650-700GW，电池产能为需求1.5倍，硅片组件2倍，硅料2.5倍；2022年以来产业链价格下跌70%-90%，硅片电池2023年四季度亏损，硅料组件2024年二季度亏损。反内卷政策升级：6月29日人民日报发声，7月1日中财委会议，7月3日工信部座谈会。硅料环节集中度高，成本差距大，整合最迫切；多晶硅期货价格触及40元/公斤，现货价格上周大幅上涨；光伏玻璃第二轮产能出清，计划7月降产30%，需出清约2万吨；头部一体化组件企业穿越周期能力强，技术变革如颗粒硅使用比例提升至50%。结论是反内卷政策有望夯实行业底部，硅料环节整合最迫切，技术变革助力企业穿越周期。
**4. 记者（证券时报 陈晨）**：人形机器人行业三季度投资主线及催化剂有哪些？
**郭文秀**：二季度A股机器人板块下跌约9%，跑输机械设备12个百分点，特斯拉标签股回调30%-40%；特斯拉量产时间线推迟，叠加中美关税，降低风险偏好；华为发布盘古世界模型和CloudRobot平台，构建多模态生成、规划、执行三大能力；智元机器人拟收购材料厂商在A股上市，宇树科技年收入突破10亿元，两家中标中国移动1.2亿元采购订单；特斯拉Optimus存在电机过热、灵巧手负载不足、续航问题，变更方案。建议关注华为云生态接入、头部企业出货量跨越500台/1000台、电机硬件优化三类信号。结论是三季度是迷茫期到商业兑现的过渡阶段，建议关注华为链、本土企业技术闭环、特斯拉延期带来的硬件替代机会。
**5. 记者（上海证券报 刘洋）**：游戏板块估值水平及后续投资机会如何？
**张雪琴**：6月版号单月发放158个（国产147个，进口11个），为2018年以来单月最高；2025年1-5月游戏市场规模同比增长17%，手游同比增长20%；吉比特《仗剑传说》首月流水2亿多元，巨人网络《超自然行动组》6月流水过亿，年化约20亿元；游戏板块TTM PE约30倍，2025年静态PE约20倍，低于2023年AI行情时的45倍；新品利润有滞后性，今年新品利润明年兑现。结论是游戏板块在消费、政策、新品周期三重利好下，调整后有望实现戴维斯双击。</t>
        </is>
      </c>
      <c r="D9" s="10" t="n">
        <v>94.2</v>
      </c>
      <c r="E9" t="inlineStr">
        <is>
          <t>22868/7329</t>
        </is>
      </c>
    </row>
    <row r="10" ht="13.5" customHeight="1" s="9">
      <c r="A10" s="6" t="inlineStr">
        <is>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is>
      </c>
      <c r="B10" s="2" t="inlineStr">
        <is>
          <t>课堂记录</t>
        </is>
      </c>
      <c r="C10" t="inlineStr">
        <is>
          <t># 课程概况
本节为以“梦想”为主题的班会课，由主讲老师主持。课程围绕梦想展开，老师先分享个人追梦经历：高中梦想考中国美术学院，单考通过但因离家远、家庭经济原因未就读，最终选择定向师范，入读广东技术师范大学（原民族学院），毕业后回龙川县教书；大学期间保持专业排名第一（专业共41人），并实现加入学生会、参加比赛、考取教师资格证等梦想。随后播放航模爱好者何宗发（音）与普通歌手追梦的视频，组织学生分组讨论实现梦想所需条件，结论为需要坚持、努力、勇敢、机会、兴趣、能力和学习，其中学习、坚持、行动是必不可少的三个条件。老师还以马云为例说明梦想可逐步立高，并强调每个梦想都值得尊重。最后让学生写下个人梦想清单，分享部分学生梦想并逐一点评鼓励，建议梦想可列清单、分阶段实现，先定小目标再定大目标。
# 核心知识点梳理
## 梦想的定义与价值
- **梦想的普遍性**：老师提问班级同学梦想，学生回答包括当保安、当喜剧人、当太空人、当世界冠军、当主角、当歌手等，老师指出每个班都有人想当太空人，说明广告词深入人心。
- **梦想值得尊重**：老师强调**每一个梦想都是值得我们尊重的**，不要嘲笑任何人的梦想，尽管他现在在睡觉也好，在干什么都好，顶峰相见。
- **不被嘲笑的梦想**：老师引用「不被嘲笑的梦想就不是梦想」，并提到这是马云说的，鼓励学生有了梦想就要努力实现。
- **梦想不可复制**：老师指出马云的成功是神话、不可复制，**我们每一个人的梦想都是不可以复制的，都是独一无二的**。
## 老师的追梦经历
- **高中梦想**：老师高中梦想考中国美术学院，单考已通过，并在国旗下讲话当着全校面宣布这一目标，当时**底下很多人嘲笑**。
- **选择定向师范**：老师最终未就读中国美术学院，原因一是离家太远，二是家庭经济困难——学美术需要钱，老师高中靠大家资助一路成长；父母选择可定向回龙川县教书的学校，老师当时**哭了三天**，但现在很开心的，认为听了父母的选择是真的。
- **大学就读**：老师入读广东技术师范大学（原民族学院，后改名广师大），定向生**免学费**，本科六年。
- **大学梦想清单**：包括加入学生会、参加各种比赛（如校运会）、保持专业排名第一、考教师资格证；老师大学四年保持本专业排名第一，专业共41人。
- **定向生限制**：⭐ 定向生**不能考研**，但可以**在职考研**——边工作边读研，学费自理。
- **梦想之路时间线**：从读书开始到考上大学经历**11年**；录取优秀班干部用了**2年**（学校实行班团一体化，既做班长又做团支书）；获得国家励志奖学金用了**1年**；成为优秀人民教师的目标**还没开始、待定**。
## 实现梦想的条件
- **视频案例一（航模）**：航模爱好者何宗发（音）通过一步步努力走上更大舞台，是中国唯一去法国巴黎比赛的航模选手，梦想带着飞机环游世界各国、把中国国旗挂在世界各大赛场上，并计划参加明年世界锦标赛；他表演的飞机有真实原型机**歼10**，还去过中国航空博物馆学习原理。
- **视频案例二（歌手）**：普通人想当歌手，在宿舍练习；有人天生天籁之音，有人唱歌走调会被嘲笑，但**走调通过后天学习和努力可以调整过来**，仍能成为歌手。
- **必备条件**：实现梦想需要**坚持、努力、勇敢、机会、兴趣、能力、学习**；其中**学习、坚持、行动是必不可少的三个条件**。
- **机会与准备**：机会永远留给**有准备的人**；缺少某一个条件梦想仍可能实现，但条件都具备时梦想会**更快速地实现**。
- **梦想分阶段调整**：梦想可以一步步立高，如航模者从想在中国到想全世界；考不进年级前50可先调整为前百，考进前百再定前50，**先定小目标再定大目标**。
## 学生梦想清单分享
- **梦想清单写法**：老师建议学生用漂亮纸写下梦想，像老师一样列清单，逐条写第1个、第2个、第3个，实现后打勾，并思考实现梦想所需时间及实现后的收获。
- **学生梦想示例一**：考试争取考到**630分**，同时拥有健康身体，希望每天开开心心、家人平平安安、世界和平、祖国越来越好。
- **学生梦想示例二**：想改变打球动作、完成自定任务、成为设计师、大学四年攒**20万**、考上好大学、成为创业者并迎娶白富美。
- **学生梦想示例三**：考试圆满通过、考上山西文化大学（音）、娶贤惠妻子、父母身体健康。
- **学生梦想示例四**：不想成为流浪画家而要做画家、了解各国国家历史、多与同学拍照。
- **学生梦想示例五**：想考师范大学、打羽毛球和篮球，成为一名光荣的人民教师。
- **老师点评**：老师认为学生梦想「非常不错」「很朴实」，并说「我们要相信每一个同学的梦想都要相信他」；有学生只写了一个梦想，老师指出梦想可以制定多个，制定一个就要不断努力去实现。
# 课堂互动与答疑
**学生**：老师，定向生是不是就不能考研了？
**教师**：定向生不能在校全日制考研，但可以在职考研，边工作边读研，学费自理；这是定向协议的限制，毕业后须回龙川县教书。
**学生**：老师，如果梦想定得太高实现不了怎么办？
**教师**：梦想可以分阶段调整，先定小目标再定大目标，比如先考进年级前百，再逐步往前五十迈进；实现梦想需要坚持、努力、行动，这三个是必不可少的条件，机会留给有准备的人。
**学生**：老师，唱歌走调的人还能实现当歌手的梦想吗？
**教师**：可以，唱歌走调可以通过后天学习和努力调整过来，不要嘲笑任何人的梦想；天赋只是1%，坚持努力、勇敢行动才是关键。
**学生**：老师，你大学是怎么保持专业排名第一的？
**教师**：每天5点起床坚持学习，大学四年保持本专业41人中排名第一；自律和坚持是核心，同时积极参加比赛、加入学生会锻炼综合能力，评优不只看成绩。
# 课后任务与学习建议
## 课堂练习
- **梦想条件讨论**：以航模爱好者何宗发（音）和想当歌手的普通人为观察对象，全班分4个大组组成“梦想观察团”，讨论实现梦想需要具备的条件，结论为坚持、努力、勇敢、机会、兴趣、能力和学习。
- **梦想清单书写**：学生拿出纸写下自己的梦想，可仿照老师示例列清单，逐条写清梦想内容、预计实现时间及实现后的收获，写完后由每个小组第1个同学收集交给老师。
## 复习重点
- **实现梦想的三大必要条件**：学习、坚持、行动，三者缺一不可；具备全部条件时梦想会更快实现。
- **梦想可分阶段调整**：目标实现不了时可先调整为更易达成的阶段目标（如先考进年级前百再冲前50），一步步向前推进。
- **每个梦想都值得尊重**：不被嘲笑的梦想不是梦想；不要嘲笑任何人的梦想，无论其当前状态如何。
- **机会留给有准备的人**：实现梦想需要机会，但机会永远留给有准备的人，需以兴趣、能力和学习作支撑。
## 学习建议
- **制定梦想清单**：仿照老师示例，将梦想分条列出（如考上理想学校、加入学生会、考取教师资格证等），实现一项打一个勾，并标注预计用时与收获。
- **分阶段设定目标**：先定小目标再定大目标，梦想可以一步步立高（如航模爱好者从国内舞台走向世界锦标赛），量力而行并及时调整。
- **勇敢行动**：像班会中主动上台唱歌的同学一样，即使被起哄也要勇敢站上讲台展示自己，用行动推动梦想实现。
- **坚持与自律**：老师为保持专业排名第一坚持每天5点起床，说明实现梦想需长期坚持与自律，可借鉴此做法规划日常学习节奏。</t>
        </is>
      </c>
      <c r="D10" s="10" t="n">
        <v>47.7</v>
      </c>
      <c r="E10" t="inlineStr">
        <is>
          <t>9362/3129</t>
        </is>
      </c>
    </row>
    <row r="11" ht="13.5" customHeight="1" s="9">
      <c r="A11" s="6" t="inlineStr">
        <is>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is>
      </c>
      <c r="B11" s="2" t="inlineStr">
        <is>
          <t>通用纪要</t>
        </is>
      </c>
      <c r="C11" t="inlineStr">
        <is>
          <t># 全文摘要
本期新闻联播由央视播音员播报，围绕国内发展成就与国际动态展开，涵盖文化自信与改革、赵乐际访俄、夏粮丰收、铁路货运、快递业、油气管网、防汛及国内联播快讯等主题。文化方面，习近平总书记提出将中华优秀传统文化精华与马克思主义立场观点方法相结合，2023年10月首次提出习近平文化思想；赵乐际于7月9日至13日访俄并出席中俄议会合作委员会第九次会议，双方同意从立法机构层面落实两国元首共识。国内经济数据方面发布了夏粮、货运、快递等多组创新高数据，其中夏粮产量达2996亿斤、6月铁路发送货物3.32亿吨、上半年快递业务量超800亿件；防汛方面，重庆等地出现暴雨，水利部联合调度水库应对三峡洪峰。国际方面，特朗普竞选集会遭未遂刺杀，以军空袭加沙致90人死亡。本期以信息发布为主，未形成明确结论。
# 分段速览
## 00:00-08:31 文化自信与中华民族现代文明建设
习近平总书记强调将中华优秀传统文化精华与马克思主义立场观点方法相结合，在孔子故里、岳麓书院、三苏祠、武夷山朱熹园等地考察时提出系列重要论述。2023年6月文化传承发展座谈会系统论述中华文明五个突出特性，阐述“两个结合”重大意义；2023年10月全国宣传思想文化工作会议首次提出习近平文化思想。文化体制改革方面，《深化文化体制改革实施方案》是中央深改领导小组审议通过的第一个专项小组改革方案，《关于实施中华优秀传统文化传承发展工程的意见》首次以中央文件形式部署文化传承发展。文化领域供给侧结构性改革深入推进，文化旅游深度融合、非遗保护传承制度完善、公共文化服务体系健全，我国成为图书、电视剧、动漫等领域生产大国，数字文化产业成为激发消费潜力“新引擎”。
## 08:31-12:31 赵乐际访问俄罗斯并出席中俄议会合作委员会第九次会议
全国人大常委会委员长赵乐际应俄罗斯联邦会议国家杜马主席沃洛金和联邦委员会主席马特维延科邀请，于7月9日至13日对俄罗斯进行正式友好访问。在圣彼得堡会见总统普京，转达习近平主席的亲切问候，强调今年是中俄建交75周年，两国新时代全面战略协作伙伴关系高水平、高质量发展；在莫斯科与马特维延科、沃洛金分别会谈，表示要以两国元首重要共识为指引，深化多层级、多领域、多渠道交流合作。10日出席中俄议会合作委员会第九次会议并致辞，提出密切战略协作、交流治国理政经验、发挥立法机构职能作用、传承弘扬传统友谊、加强多边协作五点建议。访问期间向俄无名烈士墓敬献花圈。
## 12:39-14:21 夏粮产量创历史新高
今年我国夏粮产量达2996亿斤，比2023年增加72.5亿斤，再创历史新高。夏粮单产每亩375.2公斤，其中小麦单产399.1公斤，比2023年增加10公斤，单产恢复性增长是产量增加的主要原因。中央深入推进“藏粮于地、藏粮于技”战略，全国已建成高标准农田10亿多亩，农业农村部启动小麦单产提升三年行动，中央财政首次提前下拨16亿元小麦“一喷三防”资金。小麦质量为近年来最好水平，主产区一、二等小麦占比普遍较高，夏粮首战告捷为全年粮食丰收奠定坚实基础。
## 14:21-16:03 6月份国家铁路货运多项指标稳定增长
国铁集团数据显示，6月份国家铁路发送货物3.32亿吨，完成货运周转量2665亿吨公里，同比分别增长6.1%、5.3%，均创历史同期新高，我国铁路货运量、货运周转量等指标稳居世界首位。重点物资运输保障有力，化肥农药运量同比增长26.2%增幅最大，煤炭日均装车量、集装箱、商品汽车、冷链货物发送量均创历史同期新高。境内运输网络更加完善，多式联运快车已覆盖各省会城市，铁海快线班列已覆盖全国主要港口。国际联运量质齐升，中欧班列6月累计开行1719列，发送货物18万标箱，同比分别增长15%、11%。
## 16:03-17:22 上半年我国快递业发展提速
截至6月30日，今年我国快递业务量已达800亿件。快递企业已运行国际航线40余条，面向东南亚开通陆运专线，运行美西海运航线，国际运输能力稳步增强；多地启用、升级跨境仓，农村寄递网络覆盖范围逐渐扩大。每天超1亿多件快递包裹在农村地区流动，5—6月生鲜商品进入销售旺季、电商促销拉动线上消费，快递日均业务量近5亿件。快递业不断丰富服务场景，拓展服务领域，实现与制造业的融合发展。
## 17:22-19:12 我国油气管网建设提速“全国一张网”不断完善
今年以来我国油气管网基础设施加速建设，预计全年新增管道里程超4000公里。西气东输四线已完成吐鲁番至中卫段主体管道工程建设，今年投产后年输气能力将提升150亿立方米；川气东送二线、虎林到长春天然气管道等工程加速推进。目前主干油气管网约10万公里，输气能力从2020年2230亿立方米增加到3290亿立方米，增幅达48%，天然气“全国一张网”日供气能力超10亿立方米。到2025年将初步形成东北、西北、西南及海上四大油气战略通道，建成“五纵五横”天然气干线管网。
## 19:12-20:40 渝川皖等地积极应对降雨天气
重庆九龙坡、江北等28个区县出现暴雨，其中沙坪坝、江津等13个区县大暴雨，当地组织工作人员连夜抢险排涝；四川内江部分地区出现内涝、滑坡等险情，消防救援人员转移被困群众；安徽滁州市全椒县加强巡堤，及时处置堤防渗漏和管涌。水利部针对“七下八上”防汛关键期逐流域安排防御，长江1号、2号洪水正在演进，三峡水库15日将迎来洪峰流量45000立方米每秒量级的洪水过程，水利部联合调度嘉陵江亭子口水库等上游干支流水库群，减小三峡水库入库洪峰流量。
## 20:40-23:38 国内联播快讯
北京上半年320个市区重大项目全部开工，总投资超4000亿元，聚焦现代化产业、基础设施、城市更新等领域。燕矶长江大桥北岸主塔封顶，主跨1860米，上层为高速公路、下层为城市快速路，建成后将成为鄂东空铁、空陆联运立体交通运输体系的重要过江通道。第二十三届环青海湖国际公路自行车赛收官，22支车队154名运动员决出5个奖项冠军。内蒙古第34届草原那达慕在锡林浩特市开幕，持续到8月底。外交部、全国妇联主办的“中非儿童手拉手”活动在中国儿童中心启动，纳米比亚、南非、中非、索马里、乌干达五国儿童代表将在北京、河南参观访问。
## 23:38-28:37 国际新闻
多国人士高度关注即将召开的中国共产党二十届三中全会，表示中国全面深化改革、扩大开放为世界提供更广阔的市场和发展机遇。美国前总统特朗普在宾夕法尼亚州巴特勒市竞选集会上遭未遂刺杀，右耳中枪受伤，一名观众死亡、两名受重伤，枪手为20岁左右宾夕法尼亚州男性，被特勤局狙击手打死，联邦调查局正展开调查。以军空袭加沙地带马瓦西地区致90人死亡、约300人受伤，内塔尼亚胡称目标是哈马斯下属武装派别领导人，巴勒斯坦总统阿巴斯谴责以军违反国际法，约旦、卡塔尔、埃及等也予以谴责。以军还袭击黎巴嫩多个边境村镇，黎真主党武装打击以军集结地；叙利亚首都大马士革遭空袭致1名政府军士兵死亡、3人受伤。
## 28:37-30:27 国际联播快讯与专题
俄罗斯国防部称使用“伊斯坎德尔-M”导弹打击哈尔科夫方向乌军军用火车停车点，摧毁20件装备；乌克兰武装部队总参谋部称击退俄军17次进攻。加拿大东北部纽芬兰与拉布拉多省林火蔓延，过火面积100平方公里，拉布拉多城9600人被疏散，全国正应对500多起活跃林火、超400起失控。《全面深化改革中国式现代化万千气象》专题聚焦上海、浙江坚定不移全面深化改革、扩大开放，在推进中国式现代化建设中走在前列。
# 要点梳理
## 文化自信与中华民族现代文明建设
- **理论创新**：习近平总书记提出把中华优秀传统文化精华与马克思主义立场、观点、方法相结合，为建设社会主义文化强国指明方向
- **考察足迹**：在孔子故里翻看《孔子家语通解》《论语诠解》；在岳麓书院凝望“实事求是”匾额，指出一定要把真理本土化；在三苏祠强调善于从中华优秀传统文化中汲取治国理政的理念和思维；在武夷山朱熹园提出以时代精神激活中华优秀传统文化的生命力
- **重要会议**：2023年6月文化传承发展座谈会系统论述中华文明五个突出特性，阐述“两个结合”尤其是“第二个结合”的重大意义；2023年10月全国宣传思想文化工作会议首次提出习近平文化思想
- **制度文件**：《深化文化体制改革实施方案》是中央全面深化改革领导小组审议通过的第一个专项小组改革方案；《关于实施中华优秀传统文化传承发展工程的意见》首次以中央文件形式对文化传承发展进行部署
- **文化成就**：我国成为图书、电视剧、动漫等领域生产大国，数字文化产业成为激发消费潜力“新引擎”，电影市场规模屡创新高；深入实施中华文明探源工程，高标准推进国家文化公园建设，中国共产党历史展览馆、国家版本馆等文化地标落成，《复兴文库》、“中国历代绘画大系”出版
## 赵乐际访问俄罗斯
- **访问行程**：应俄罗斯联邦会议国家杜马主席沃洛金和联邦委员会主席马特维延科邀请，赵乐际于7月9日至13日对俄罗斯进行正式友好访问，在圣彼得堡会见总统普京，在莫斯科与马特维延科、沃洛金分别举行会谈，并出席中俄议会合作委员会第九次会议
- **会见普京**：赵乐际转达习近平主席亲切问候，表示今年是中俄建交75周年，在两国元首战略引领下中俄新时代全面战略协作伙伴关系高水平、高质量发展；中国全国人大愿从立法机构层面落实两国元首重要共识
- **普京表态**：请赵乐际转达对习近平主席的亲切问候，称俄中立法机构始终保持高水平合作，加强议会合作委员会工作有利于两国交流经验、互学互鉴，促进立法、地方等各领域合作
- **与马特维延科、沃洛金会谈**：赵乐际提出以两国元首重要共识为指引，保持战略定力，坚定道路自信，在涉及彼此核心利益问题上坚定相互支持；用好中俄议会合作委员会、双边友好小组等机制和平台，互学互鉴立法经验
- **俄方表态**：马特维延科表示发展对华关系得到俄社会广泛认同和支持，要加强立法合作，推进地方立法机构、青年议员和人大代表交流；沃洛金表示俄国家杜马不同党派在发展对华关系上高度一致，俄坚定恪守一个中国原则，反对任何外部势力干涉中国内政
- **议会合作委员会第九次会议**：赵乐际10日出席并致辞，提出密切战略协作、交流治国理政经验、发挥立法机构职能作用、传承弘扬传统友谊、加强多边协作团结壮大“全球南方”力量等五点建议
- **其他行程**：访问期间赵乐际在莫斯科向俄无名烈士墓敬献花圈
## 夏粮产量创历史新高
- **总产量**：今年夏粮产量达2996亿斤，比2023年增加72.5亿斤，再创历史新高，克服多重自然灾害影响
- **单产数据**：夏粮单产每亩375.2公斤，其中小麦单产399.1公斤，比2023年增加10公斤；单产恢复性增长是产量增加的主要原因
- **政策支撑**：中央深入推进“藏粮于地、藏粮于技”战略，全国已建成高标准农田10亿多亩；农业农村部启动小麦单产提升三年行动；中央财政首次提前下拨16亿元小麦“一喷三防”资金
- **质量亮点**：小麦质量为近年来最好水平，主产区一、二等小麦占比普遍较高，得益于集成技术推广应用、科学防灾减灾、收割晾晒及时
## 6月份国家铁路货运
- **总体数据**：6月份国家铁路发送货物3.32亿吨，完成货运周转量2665亿吨公里，同比分别增长6.1%、5.3%，创历史同期新高；我国铁路货运量、货运周转量等指标稳居世界首位
- **重点物资**：化肥农药运量增幅最大，同比增长26.2%；煤炭日均装车量，集装箱、商品汽车、冷链货物发送量均创历史同期新高
- **境内网络**：连接内陆物流节点城市的多式联运快车已覆盖各省会城市，铁海快线班列已覆盖全国主要港口
- **国际联运**：6月中欧班列累计开行1719列，发送货物18万标箱，同比分别增长15%、11%
## 上半年快递业
- **业务总量**：截至6月30日，今年我国快递业务量已达800亿件
- **国际能力**：快递企业已运行国际航线40余条，面向东南亚开通陆运专线，运行美西海运航线；多地启用、升级跨境仓
- **农村网络**：每天超1亿多件快递包裹在农村地区流动，5—6月生鲜商品进入销售旺季、电商促销拉动线上消费，快递日均业务量近5亿件
- **融合发展**：快递业不断丰富服务场景，拓展服务领域，实现与制造业融合发展
## 油气管网建设
- **总体目标**：预计全年新增管道里程超4000公里，“全国一张网”不断完善
- **重点工程**：西气东输四线已完成吐鲁番至中卫段主体管道工程建设，今年投产后年输气能力将提升150亿立方米；川气东送二线、虎林到长春天然气管道等工程加速推进
- **管网能力**：主干油气管网约10万公里，输气能力从2020年2230亿立方米增加到3290亿立方米，增幅达48%，天然气“全国一张网”日供气能力超10亿立方米
- **2025年规划**：初步形成东北、西北、西南以及海上四大油气战略通道，建成“五纵五横”天然气干线管网
## 渝川皖等地应对降雨
- **重庆**：7月13日8时至14日8时，九龙坡、江北等28个区县出现暴雨，其中沙坪坝、江津等13个区县大暴雨；组织工作人员连夜抢险排涝，保障道路畅通
- **四川**：暴雨造成内江部分地区内涝、滑坡等险情，消防救援人员紧急出动转移被困群众
- **安徽**：强降雨导致多条河流水位上涨，滁州市全椒县工作人员加强巡堤，及时处置堤防渗漏和管涌
- **水利部调度**：针对“七下八上”防汛关键期逐流域安排防御；长江1号、2号洪水正在演进，三峡水库15日将迎来洪峰流量45000立方米每秒量级的洪水过程；联合调度嘉陵江亭子口水库等上游干支流水库群，减小三峡水库入库洪峰流量
## 国内联播快讯
- **北京重大项目**：上半年计划新开工的320个市区重大项目全部开工，包括丽泽数字金融科技示范园、温榆河生态治理工程等，聚焦现代化产业、基础设施、城市更新等领域，总投资超4000亿元
- **燕矶长江大桥**：7月14日北岸主塔封顶，下一步转入主缆施工阶段；连接湖北鄂州和黄冈，主跨1860米，上层为高速公路、下层为城市快速路，建成后将成为鄂东空铁、空陆联运立体交通运输体系的重要过江通道
- **环青海湖国际公路自行车赛**：第二十三届7月14日在海北州门源县落幕，8天8个赛段，国内外22支车队154名运动员决出个人总成绩、爬山积分、团体总积分等5个奖项冠军
- **草原那达慕**：内蒙古第34届7月14日在锡林浩特市开幕，主题为“相约草原遇见那达慕”，持续到8月底，开展体育赛事、文艺表演、美食品鉴、非遗展示等活动
- **中非儿童手拉手**：7月14日由外交部、全国妇联主办，在中国儿童中心启动；纳米比亚、南非、中非、索马里、乌干达五国儿童代表将在北京、河南两地参观访问
## 国际新闻
- **多国人士评价**：高度关注即将召开的中国共产党二十届三中全会，表示中国全面深化改革、扩大开放在许多领域实现历史性变革，为世界提供更广阔的市场和发展机遇
- **特朗普竞选集会枪击**：13日在美国宾夕法尼亚州巴特勒市竞选集会发生枪击，特朗普在社交媒体称右耳中枪受伤，竞选团队称其“状况良好”；枪击造成一名观众死亡、两名观众受重伤；枪手从集会现场外高处向演讲台“开了数枪”，所处屋顶距演讲台约180多米到270多米，开枪后被特勤局狙击手打死；美联邦调查局称特朗普遭未遂刺杀，枪手为20岁左右男性、来自宾夕法尼亚州，作案动机待查明
- **以军空袭加沙马瓦西地区**：13日空袭加沙地带南部汗尤尼斯马瓦西地区，死亡人数升至90人、约300人受伤，死伤者中包括许多妇女和儿童；内塔尼亚胡称空袭目标是哈马斯下属武装派别“卡桑旅”领导人穆罕默德·戴夫和“汗尤尼斯旅”指挥官萨拉马，今后将继续发动类似袭击；哈马斯表示袭击使局势“严重升级”
- **各方谴责**：巴勒斯坦总统阿巴斯发表声明谴责以军违反国际法；约旦、卡塔尔、埃及等发表声明予以谴责
- **加沙其他冲突**：以军13日在拉法、加沙城等地打击巴武装人员和军用设施；巴武装派别使用迫击炮、火箭弹等打击以军阵地和坦克
- **以黎冲突**：黎巴嫩多个边境村镇遭以军空袭、炮击和机枪扫射，部分地区因白磷弹袭击发生火灾；黎真主党武装称打击了位于以色列北部的以军集结地和情报设施
- **叙利亚遭空袭**：叙利亚军方7月14日称大马士革卡夫苏萨地区等多个地点遭空袭，造成1名政府军士兵死亡、3人受伤；以色列国防军称空袭了叙利亚军事指挥所、防空系统等目标
- **俄乌冲突**：俄国防部称使用“伊斯坎德尔-M”导弹打击哈尔科夫方向一处乌军军用火车停车点，摧毁包括3辆德制步兵战车在内的20件乌军装备；乌武装部队总参谋部称当天与俄军交战上百次，在波克罗夫斯克方向击退俄军17次进攻
- **加拿大林火**：13日纽芬兰与拉布拉多省林火迅速蔓延，过火面积达100平方公里，拉布拉多城9600人被疏散；消防人员称火势迅速升级已无法继续使用灭火飞机；加拿大正应对500多起活跃林火，其中超400起处于失控状态
## 结论与决定
- **文化领域**：全党全国各族人民文化自信明显增强，全社会凝聚力和向心力极大提升；文化体制改革在正本清源、守正创新中取得历史性成就、发生历史性变革
- **中俄关系**：双方同意从立法机构层面落实两国元首重要共识，深化多层级、多领域、多渠道交流合作；俄方明确坚定恪守一个中国原则
- **夏粮生产**：夏粮首战告捷，为全年粮食丰收奠定坚实基础
- **铁路货运**：6月份多项指标创历史同期新高，铁路货运量、货运周转量等指标稳居世界首位
## 行动项与分工
- **水利部**：针对“七下八上”防汛关键期逐流域安排防御，联合调度嘉陵江亭子口水库等上游干支流水库群，减小三峡水库入库洪峰流量
- **美联邦调查局**：对特朗普竞选集会枪击事件展开调查，枪手具体作案动机有待查明
## 待确认与风险
- **特朗普枪击案**：枪手为20岁左右男性、来自宾夕法尼亚州，具体作案动机还有待查明
- **以军空袭**：内塔尼亚胡称今后将继续发动类似袭击，哈马斯表示袭击使局势“严重升级”
- **加拿大林火**：火势迅速升级，已无法继续使用灭火飞机，超400起活跃林火处于失控状态</t>
        </is>
      </c>
      <c r="D11" s="10" t="n">
        <v>75.7</v>
      </c>
      <c r="E11" t="inlineStr">
        <is>
          <t>7755/7574</t>
        </is>
      </c>
    </row>
    <row r="12" ht="13.5" customHeight="1" s="9">
      <c r="A12" s="6" t="inlineStr">
        <is>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is>
      </c>
      <c r="B12" s="2" t="inlineStr">
        <is>
          <t>课堂记录</t>
        </is>
      </c>
      <c r="C12" t="inlineStr">
        <is>
          <t># 课程概况
本课为初中物理光学复习课，系统复习几何光学核心知识，涵盖光的直线传播、光的反射定律、镜面反射与漫反射、平面镜成像及球面镜应用。主讲人指出几何光学自古希腊时期即有研究，初中阶段主要学习直线传播、反射与折射规律。光的直线传播部分讲解光源（自然光源与人造光源）、光线（物理模型）概念，通过激光笔与烟雾实验、吸管弯折实验证明光在均匀介质中沿直线传播，并指出大气层不均匀会导致光线偏折；实例包括三点一线瞄准、激光准直、小孔成像、日食月食、影子形成，光在真空中速度为3×10⁸米/秒。光的反射定律强调三线共面、分居两侧、反射角等于入射角，法线为垂直镜面的辅助线，光垂直入射时入射角与反射角均为0度。镜面反射与漫反射对比中，黑板反光属镜面反射，电影银幕产生漫反射，雨后夜晚判断水潭位置及光路可逆性均有涉及。平面镜成像特点为正立、等大、虚像，实验用玻璃板代替平面镜便于确定像的位置，并讨论实验误差原因。球面镜部分介绍凸面镜发散光线、凹面镜会聚光线及其应用，并提及玻璃幕墙光污染隐患。
# 核心知识点梳理
## 光的直线传播
- **光源定义**：自身能够发光的物体，分为**自然光源**（如太阳）和**人造光源**（如火把、蜡烛、煤油灯、电灯）。
- **光线概念**：用一条带有箭头的直线代表光线，是**物理模型**，并非真实存在；按来源分为自然光源与人造光源，按形状分为点光源（如蜡烛）与平行光源（如太阳从无限远处来，画成一束平行光）。
- **光沿直线传播条件**：光在**均匀介质**中沿直线传播；大气层不均匀时会发生偏折，如太阳越出地平线、夜晚星星眨眼。
- **证明实验**：玻璃罩内用激光笔照射，借助熏香或烟雾显示光路；用吸管做实验——吸管弯折后，激光在墙上光点消失，说明光不会自行拐弯。
- **实例——三点一线**：步枪瞄准时眼睛、准心尖、标尺缺口三者重合，依据是光在均匀介质中沿直线传播；队列排齐、木工师傅闭一只眼看尺子是否平直同理。
- **实例——激光准直**：利用激光沿直线传播的特性进行准直。
- **实例——小孔成像**：光沿直线传播，成**倒立实像**，放大缩小不一定，与孔形状无关；《墨经》有记载，考试常考。
- **小孔成像生活案例**：夏天大杨树下地面上的光斑，是太阳透过树叶缝隙形成的小孔成像，因太阳距地球远大于缝隙距地面距离，得到的是**缩小的实像**，角度不正时呈椭圆形。
- **小孔成像自制实验**：纸杯底部用针扎小孔，杯口蒙塑料布，点燃蜡烛放在孔前，可在塑料布上看到**倒立的火苗像**。
- **实例——日食**：太阳、月球、地球在同一直线上，**月球在中间**；1号区域为**日全食**，2、3号区域为**日偏食**，4号区域为**日环食**。
- **实例——月食**：太阳、地球、月球在同一直线上，**地球在中间**；月球完全进入1号区域为**月全食**；月球部分在1号区域、部分在2或3号区域时出现**月偏食**（仅处于2、3号区域只会略暗，不叫月偏食）。
- **实例——影子形成**：影子即俗称的阴影，唐朝皮影戏利用此原理。
- **光速**：光在真空中的传播速度为 `3×10^8` 米/秒，即 `3×10^5` 千米/秒，约**每秒绕地球赤道7圈半**；空气中略慢，近似取 `3×10^8` 米/秒；水中约为真空中的 `3/4`，玻璃中约为 `2/3`。
- **介质含义**：此处介质指**透明**物质（如有机玻璃、水），砖头、黑板不算；海水清澈时太阳光最多到达约**200米**深处。
- **光速测量**：前人测量光速均失败，初三将学习光本质为电磁波，电磁波速度即 `3×10^8` 米/秒。
- **练习1**：影子和月全食均依据光在均匀介质中沿直线传播。
- **练习2**：激光从地球射到月球表面用时1.25秒，距离 `s=V×T`，地球与月球间视为真空，答案 `3.75×10^8` 米。
- **练习3**：先看到闪电后听到雷声，因为**光速比声速快**（声速15℃时约340米/秒）。
- **练习4**：选C——光在均匀介质中沿直线传播；D错在未强调均匀介质。
- **练习5**：多选，选BCD——平面镜是反射现象。
- **练习6**：选ABC；D错在光说传播路线，须强调均匀介质。
## 光的反射定律
- **基本概念**：`AO` 为入射光线，`O` 为入射点，`OB` 为反射光线；`ON` 为**法线**，垂直于镜面，是入射光线与反射光线夹角的角平分线；入射光线与法线的夹角为**入射角**，反射光线与法线的夹角为**反射角**。
- **反射定律三句话**：①反射光线、入射光线、法线在**同一平面内**（共面）；②反射光线和入射光线**分居法线两侧**；③**反射角等于入射角**。
- **法线引入原因**：为后续学习折射做准备，法线是辅助线，**不存在**，画图用虚线。
- **易错点**：光垂直射到镜面上时，入射角和反射角均为**0度**（不是90度）。
- **例题——第9题**：反射光线与平面镜夹角40度，则与法线夹角50度，入射角为**50度**，选A。
- **作图步骤**：①先画法线（虚线，画两三段断开即可，作图痕迹保留）；②根据反射角等于入射角，用刻度尺在法线两侧找对称点（如一侧5厘米，另一侧找5厘米）；③连接入射点与对称点，补全箭头。
- **作图易错**：箭头方向画反（两条光线各往各的方向飞或相对着画），此类题定位为送分题。
- **练习10**：入射光线与镜面夹角增大，入射角减小，反射角也减小，传播速度不变，选C。
- **练习11**：入射光线与法线夹角60度，反射角为**60度**。
- **练习12**：反射光线与入射光线夹角80度，反射角为**40度**（角平分线）。
## 镜面反射与漫反射
- **镜面反射**：平行光射到光滑表面，各入射点法线均与镜面垂直，入射角相同，反射光平行射出；人眼只在特定位置能看到反射光，如商场玻璃隔断易使人撞上。
- **漫反射**：表面凹凸不平，将每个小面看作小平面镜，平行光反射后射向**各个方向**，人眼在任何位置都能看到；生活中大多数反射是漫反射。
- **黑板反光**：教室某些位置看黑板只见一片光亮、看不清粉笔字，是黑板发生**镜面反射**；电影银幕、投影幕布表面粗糙，发生**漫反射**。
- **练习13（雨后水潭）**：迎着月光走，发亮处是水潭（镜面反射）；背着月光走，发暗处是水潭。
- **自制实验**：白纸上放小镜子，手电筒垂直照射，斜着看时**镜子是黑的、白纸是亮的**——镜子发生镜面反射光返回，白纸发生漫反射。
- **练习14（光路可逆）**：小明能看到小刚在平面镜中的像，则小刚也一定能看到小明，依据是**光路可逆**；A错（垂直入射反射角0度）、C错（漫反射也遵守反射定律）、D错（不同介质光速不同）。
- **练习15**：电影院白色荧幕对光产生**漫反射**。
- **练习16**：黑板反光为**镜面反射**，电影放映机射到银幕的光经幕布反射为**漫反射**，两种反射都遵守光的反射定律。
- **练习17**：电影院白色屏幕粗糙，为使射到屏幕的光发生**漫反射**。
## 平面镜成像
- **成像原理**：根据光的反射定律作图，反射光线反向延长线的交点即像点 `S'`；像与物的连线**垂直于镜面**，像到镜面距离**等于**物到镜面距离。
- **成像特点**：成**正立、等大、虚像**（与小孔成像的倒立实像不同）。
- **实验器材与作用**：用**玻璃板**代替平面镜（便于移动后方蜡烛确定像的位置）；**刻度尺**用于比较像与物到镜面的距离；**两段完全相同蜡烛**用于比较像与物的大小。
- **虚像验证**：光屏（毛玻璃、白塑料片、白墙等）**不能**接收到烛焰的像，因为实际光线没有到达镜后；后方蜡烛看似被点燃，手放上去不会被烫伤。
- **实验误差原因一**：玻璃板与水平面**不垂直**（或与事先画好的镜面位置不重合），导致测量数据不相等。
- **实验误差原因二**：玻璃板**有厚度**，两个面都发生反射成像；薄玻璃板（约3毫米）人眼分辨不出两个像，厚玻璃板（约8毫米）会看到同一个蜡烛的两个像。
- **练习18**：人在河边看到岸边的树在水中的倒影属于光的反射（平静水面充当平面镜，成正立等大虚像，文学上称"倒影"）；C选项"看到河水深度比实际浅"是光的折射。
- **练习21（查视力）**：视力表距镜子3.5米，像距镜子也是3.5米，人距镜子**1.5米**时看到虚像距离为5米。
- **练习22**：视力表到镜距离改为3米，像到镜距离3米，人距镜子**2米**即可，选B。
- **练习23**：人站在平面镜前1米处，人与像之间距离为**2米**。
- **练习24**：人向远离平面镜方向移动，镜中像的大小**不变**，选C。
## 球面镜及其应用
- **凸面镜**：对光线起**发散作用**，成正立、缩小的虚像；用于汽车后视镜、丁字路口拐弯处反光镜（能看到更大范围，但视觉上物体显得比实际远）。
- **凹面镜**：对光线起**会聚作用**，平行光反射后汇聚于焦点 `F`；用于手电筒电珠（小灯泡置于焦点处）、汽车前大灯、探照灯、医生额镜（中间镂空便于观察耳道、鼻腔、嗓子）、西藏藏民使用的太阳灶。
- **作图方法**：以直代曲——将曲面看作许多小平面镜，逐面画法线与反射光线。
- **阿基米德案例**：组织妇女用梳妆平面镜围成凹面，汇聚光线烧毁敌人帆船。
- **玻璃幕墙光污染**：玻璃幕墙做成凹面会汇聚光线，可能烧死树木（学校枣树三年被烧死）、引燃电线（焦点落在电线上导致自燃）；凹面还反射声音，楼间噪音增大。
# 课堂互动与答疑
**学生**：为什么研究反射时要引入法线，直接用入射光线和镜面的夹角不行吗？
**教师**：如果只研究反射，用镜面夹角确实可以，但后面还要学折射，折射定律需要以法线为基准来定义入射角和折射角，所以必须统一引入法线。法线是垂直于镜面的辅助线，也是入射光线和反射光线夹角的角平分线，实际并不存在，画图时用虚线表示。
**学生**：光垂直射到镜面上，入射角和反射角是多少？为什么不是90度？
**教师**：都是0度。因为入射角的定义是入射光线与法线的夹角，垂直入射时光线与法线重合，夹角为0度，反射角也等于0度。这是常见易错点，很多同学误答成90度。
**学生**：画反射光线时，怎么确定入射光线的位置？需要用量角器量角度吗？
**教师**：不需要量角器。作图步骤是：先画法线（虚线，留作图痕迹），再根据反射角等于入射角确定光线位置。简便方法是用刻度尺的刻度对准法线，在入射光线和反射光线方向上各找一个到法线距离相等的点，连接入射点即可，这样画出的两条光线一定对称。
**学生**：为什么说小孔成像成的像一定是实像？放大缩小不一定？
**教师**：因为光线实际到达光屏，所以是实像。像的大小取决于物距和像距的关系：物体离孔远、光屏离孔近时成缩小的像，反之成放大的像，但倒立是肯定的。像的形状与孔的形状无关，只与物体形状有关，如树叶缝隙形成的光斑是太阳的像。
**学生**：日食和月食的偏食区域为什么不一样？月偏食不是月球在2、3号区域吗？
**教师**：日食时月球在中间，2、3号区域是日偏食；但月食时地球在中间，月球很小，可以完全钻入地球阴影（1号区域）形成月全食。如果月球部分在1号区域、部分在2或3号区域，才出现月偏食；完全在2或3号区域时只是略暗，不叫月食。
**学生**：光在真空中的速度是3×10⁸米/秒，那在其他介质中呢？
**教师**：真空中是3×10⁸米/秒，空气中略慢，约为2.99×10⁸米/秒，通常近似取真空值；水中约为真空中的3/4，玻璃中约为2/3。光速随介质不同而变化，所以不能说光在所有介质中速度都相同。
**学生**：为什么用玻璃板代替平面镜做成像实验？直接用镜子不行吗？
**教师**：不行。平面镜不透光，无法看到镜后的蜡烛位置，也就无法确定像的位置。玻璃板既能反射成像，又能透过它看到后面的蜡烛，便于移动未点燃的蜡烛与像重合，从而确定像的位置并比较像与物的大小和距离。
**学生**：实验中为什么能看到同一个蜡烛的两个像？
**教师**：因为玻璃板有厚度，前后两个表面都能发生反射，各自成一个像。如果玻璃板很薄（如3毫米），两个像几乎重合，肉眼分辨不出；如果玻璃板较厚（如8毫米），就能明显看到两个像。所以实验应选薄玻璃板。
**学生**：为什么光屏接收不到平面镜成的像？
**教师**：因为平面镜成的是虚像，实际光线并没有到达镜后，只是人眼逆着反射光线的方向看过去，感觉像在镜后。所以把光屏放在像的位置，接收不到任何光线，也就看不到像。这与小孔成像不同，小孔成像是实际光线到达光屏形成的实像。
**学生**：雨后夜晚，为什么迎着月光走时发亮处是水潭，背着月光走时发暗处是水潭？
**教师**：水面发生镜面反射。迎着月光走时，月光经水面反射后恰好进入人眼，所以水潭发亮；背着月光走时，反射光射向另一侧，进入人眼的反射光很少，而地面发生漫反射，反而比水面亮，所以发暗处是水潭。
**学生**：凸面镜和凹面镜对光线各起什么作用？分别用在哪些地方？
**教师**：凸面镜对光线起发散作用，成**正立、缩小的虚像**，用于汽车后视镜、丁字路口反光镜，能扩大视野；凹面镜对光线起会聚作用，把平行光会聚到焦点，用于手电筒、汽车前大灯、太阳灶、医生额镜。凹面镜会聚光线也可能造成危害，如玻璃幕墙形成凹面会聚阳光，可能烧死树木甚至引燃电线。
# 课后任务与学习建议
## 课堂练习
- **第1–5题（光的直线传播）**：考点为光在均匀介质中沿直线传播及光速计算。第1题答案即该原理；第2题影子和月全食均依据此原理；第3题激光从地球到月球用时1.25秒，按s=vt计算，地月距离为3.75×10⁸米；第4题选C，光在真空中传播速度最快，均匀介质中沿直线传播，不同介质中速度不同；第5题多选BCD，平面镜成像属反射而非直线传播。
- **第6题（多选）**：考点为光沿直线传播的条件，选ABC；D项错在未强调均匀介质，光传播路线并非无条件为直线。
- **第7题（反射定律探究实验）**：考点为光的反射定律验证。用带刻度硬纸板（中间用透明胶带粘合可前后转动）和小平面镜，激光笔照射，观察反射光线、入射光线与法线关系，验证三线共面、分居两侧、反射角等于入射角。
- **第8题（反射作图）**：考点为根据反射定律画入射或反射光线。步骤：先画法线（虚线，2–3段即可），再根据反射角等于入射角确定光线方向，最后补全箭头；可用尺子刻度找对称点辅助作图，作图痕迹保留法线即可。
- **第9题（选择题）**：考点为入射角与反射角计算。反射光线与平面镜夹角40°，则与法线夹角（入射角）为50°，反射角也为50°，选A。
- **第10题（选择题）**：考点为入射角变化对反射角的影响。入射光线与镜面夹角增大时，入射角减小，反射角随之减小，但传播速度不变，选C。
- **第11题**：入射光线与法线夹角60°时，反射角为60°。
- **第12题**：反射光线与入射光线夹角80°时，反射角为40°（角平分线）。
- **第13题（雨后水潭判断）**：考点为镜面反射与漫反射辨析。迎着月光走，发亮处是水潭（水面镜面反射）；背着月光走，发暗处是水潭；选B。
- **第14题（光路可逆）**：A错，垂直入射时入射角为0°而非90°；B对，小明能看到小刚在平面镜中的像，则小刚也一定能看到小明（光路可逆）；C错，漫反射同样遵守反射定律；D错，光在不同介质中速度不同。
- **第15题**：电影院白色荧幕对光产生漫反射，选B。
- **第16题（填空）**：教室某些位置看黑板只见光亮看不清粉笔字，是黑板发生镜面反射；电影放映机射到银幕的光经幕布反射进入人眼，是漫反射；两种反射都遵守光的反射定律。
- **第17题**：电影院白色屏幕粗糙，为使射到屏幕上的光发生漫反射。
- **第18题（选择题）**：下列现象属于光的反射的是D——人在河边看到岸边树在水中的倒影（平静水面充当平面镜）；A、B属直线传播，C属折射。
- **第19题（平面镜成像实验）**：考点为实验误差分析。①蜡烛到玻璃板距离与像到玻璃板距离不相等，原因可能是玻璃板与水平面不垂直（或与事先画好的镜面位置未重合）；②同一侧看到同一个蜡烛的两个像，原因是玻璃板有厚度，两个面发生反射成像。
- **第20题（平面镜成像实验）**：①用玻璃板代替平面镜的目的是便于确定像的位置（可透过玻璃板移动后方蜡烛找像）；②刻度尺用于比较像与物到镜面的距离；③两段完全相同蜡烛用于比较像与物的大小；④光屏不能接收到烛焰的像，因为平面镜成虚像，实际光线未到达后方；⑤物体靠近玻璃板时，像的大小不变。
- **第21题（填空）**：视力表距镜子3.5米，像距镜子也是3.5米，人距镜子1.5米时，看到虚像距离为5米，填1.5米。
- **第22题（选择题）**：视力表到镜距离改为3米，像到镜距离也是3米，人距镜子2米即可，选B。
- **第23题**：人站在平面镜前1米处，人与像之间距离为2米。
- **第24题**：人向远离平面镜方向移动，镜中像的大小不变，选C。
## 复习重点
- **光源**：自身能够发光的物体；按来源分为自然光源（太阳、萤火虫）和人造光源（火把、蜡烛、煤油灯、电灯）。
- **光线**：用带箭头的直线表示，是物理模型，并非真实存在；按形状可分为点光源（如蜡烛）和平行光源（如太阳光）。
- **光在均匀介质中沿直线传播**：适用条件为同种均匀介质；大气层不均匀时光线发生偏折，表现为太阳越出地平线、星星眨眼等现象。
- **光速**：真空中为3×10⁸米/秒（约每秒绕地球赤道7圈半）；空气中略慢（约2.99×10⁸米/秒）；水中约为真空的3/4；玻璃中约为真空的2/3。
- **光的反射定律**：反射光线、入射光线和法线在同一平面内；反射光线和入射光线分居法线两侧；反射角等于入射角；法线垂直于镜面，是入射光线与反射光线夹角的角平分线。
- **入射角与反射角**：均为光线与法线的夹角；光垂直射到镜面时，入射角和反射角都是0°（易错点：误答90°）。
- **镜面反射**：平行光射到光滑表面，反射光平行，人眼在特定位置才能看到；黑板反光、平静水面倒影属此类。
- **漫反射**：平行光射到凹凸不平表面，反射光射向各个方向，人眼在任何位置都能看到；电影银幕、白纸属此类；镜面反射和漫反射都遵守光的反射定律。
- **光路可逆**：若甲能看到乙在平面镜中的像，则乙也一定能看到甲在平面镜中的像。
- **平面镜成像特点**：正立、等大、虚像；像与物到镜面距离相等，连线与镜面垂直；虚像无法用光屏接收（实际光线未到达）。
- **凸面镜**：对光线起发散作用，成正立、缩小的虚像；用于汽车后视镜、丁字路口反光镜。
- **凹面镜**：对光线起会聚作用，焦点处可汇聚光线；用于手电筒、汽车前大灯、太阳灶、医生额镜；玻璃幕墙形成凹面会聚光线可能造成光污染。
## 学习建议
- **自制小孔成像实验**：用纸杯底部用针扎小孔（勿用钉子扎大孔），杯口蒙塑料布，点燃蜡烛置于小孔前方，可在塑料布上看到倒立的火苗像；体会像与孔形状无关。
- **自制反射定律探究装置**：用硬纸壳（中间用透明胶带粘合可前后转动）、小平面镜和激光笔，在纸壳上画好刻度，即可在家验证光的反射定律。
- **自制平面镜成像实验**：白纸上立一块透明玻璃，前方点燃蜡烛，后方移动未点燃蜡烛至像的位置，记录两蜡烛位置，可验证像与物到镜面距离相等、连线与镜面垂直。
- **雨后水潭判断实验**：白纸上放一面小镜子，用手电筒垂直照射，斜着看时镜子是黑的、周围白纸是亮的，直观理解镜面反射与漫反射的区别。
- **购买激光笔**：两元店或十元店即可买到，激光笔光线强度大、线直，便于观察直线传播和反射实验，不必买昂贵型号。
- **保护视力提醒**：主讲人强调长时间用眼、教室拉窗帘、写字姿势不良等都会导致近视；建议多到户外活动，避免长时间盯屏幕，注意用眼卫生。</t>
        </is>
      </c>
      <c r="D12" s="10" t="n">
        <v>82.2</v>
      </c>
      <c r="E12" t="inlineStr">
        <is>
          <t>25691/8398</t>
        </is>
      </c>
    </row>
    <row r="13" ht="13.5" customHeight="1" s="9">
      <c r="A13" s="6" t="inlineStr">
        <is>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is>
      </c>
      <c r="B13" s="2" t="inlineStr">
        <is>
          <t>课堂记录</t>
        </is>
      </c>
      <c r="C13" t="inlineStr">
        <is>
          <t># 课程概况
电气工程基础是电气工程及其自动化专业的入门课程，本次为课程导论及第一章绪论部分。课程提出两个教学目标：一是掌握电力系统发电、输电、配电、用电四个典型环节的构成、工作原理及其与电力系统整体的关系，建立电力系统的整体概念；二是掌握电力系统在分析、设计、运行、管理方面的基础理论、基本技术与计算方法。课程要求前修电路理论和电机学知识，特别是变压器和同步电机相关内容；后续重要课程包括电力系统分析、电力系统机电保护、电力系统自动化和高电压技术。本次课程主要内容包括：梳理交直流输电发展简史及交直流之争，论证三相交流输电的优势；从单机供电可靠性差出发，推导电力系统形成过程，给出电力系统、电力网、动力系统的定义；按规模将电网分为地方、区域、超高压远距离输送三类，并介绍变电站按电压等级和功率流向的分类方法。第一章为全课程概念最多、最重要的章节，重点掌握基本概念、电力系统特点与要求、电能质量指标及常用接地方式，难点在于有功无功动态平衡、额定电压规定和中心点接地方式。
# 核心知识点梳理
## 课程目标与定位
- **课程定位**：电气工程基础是进入专业课后的**第一门课**，属于专业入门课，对今后工作非常重要。
- **教学目标一**：掌握电力系统**发电、输电、配电、用电**四个典型环节的构成、工作原理及与电力系统整体之间的关系，建立电力系统的整体概念。
- **教学目标二**：掌握电力系统在**分析、设计、运行、管理**方面的基础理论、基本技术及基本计算方法。
- **前修课程要求**：需了解电路理论和电机学知识，特别是**变压器和同步电机**相关知识要求较高；有欠缺的同学应课后补充相关内容。
- **重要后续课程**：电力系统分析、电力系统机电保护、电力系统自动化、高电压技术。
## 第1章学习内容与难点
- **学习内容一**：掌握电力系统若干基本概念，包括电力系统、电力网、动力系统和变电站等相关概念。
- **学习内容二**：理解电力系统的特点，以及由特点引起的电力系统设计、运行等方面的基础理论。
- **学习内容三**：理解对电力系统提出的要求，涉及电力系统运行、设计和维护各方面。
- **学习内容四**：掌握电力系统电能质量指标，包括**国家标准**对这些指标的各种规定范围。
- **学习内容五**：了解电力系统常用接地方式，特别是**工作接地（中性点接地方式）**的不同特点。
- **难点一** ⭐：由电力系统特点引出的基本原理，如**电能不能大量储存**决定了电力系统**有功功率和无功功率的动态平衡**问题，是运行调整和设计的基础。
- **难点二** ⭐：电力系统**额定电压的规定**繁杂，需注意把规定搞清楚。
- **难点三** ⭐：各种**中性点接地方式**直接影响后续多个章节内容，学习起来较困难。
- **学习方法一**：对基本概念注意其**内涵和外延**，并适当记忆。
- **学习方法二**：从电力系统特点和要求出发，**从最基础原理推导**，不要死记结论（结论在使用条件变化时会失效）。
- **学习方法三**：注意寻找额定电压规定之间的**基本规律**。
- **学习方法四**：注意**比较不同中性点接地方式**之间的特点。
## 直流输电发展简史
- **早期直流试验**：电力发展从直流开始而非交流；福泰勒用2000米导线连接瓦斯发电机，拖动直流发电机、电动机和带水泵的电动机，证明直流远距离（两公里）输电可行。
- **1874年**：俄国工程师在彼得堡建成**4.5公里**直流输电线路，传输功率**4.5千瓦**，后用于有轨电车的原始工业试验。
- **1882年**：法国德普勒架设首条**57公里**直流试验线路，采用电报线传输，首端电压343伏、末端850伏，输送功率**200瓦**，损耗**78%**，将水电站直流发电机电力送至博览会。
- **1883年**：德普勒从法国南部进行**14公里**输电试验，输送功率**1.1千瓦**，从瓦利尔书店到巴黎56公里，损耗**55%**。
- **1882年10月**：英国科学家发明直流**三线制系统**，外线与中线间电压110伏，两外线间220伏；后扩展到5根线形成直流无限制系统。
- **直流输电限制**：电压等级低时损耗大、电压降落快；制造大容量高压直流发电机困难，限制远距离大容量输电。
- **19世纪末**：法国科学家方剑在送端将多台直流发电机**串联**以提高电压，将**75千瓦**电力输送**75千米**。
- **20世纪初期**：瑞典科学家在串联直流发电机上装**短路器**，使任意发电机投切不停电；此后20多年间建成**15条**直流输电线路。
- **1906年**：投运法国慕尼黑水电厂到里昂的**180公里、57千伏、4700千瓦**直流线路。
- **1927年**：改建为**260公里、125千伏、19000千瓦**，接入两座水电站。
- **直流输电制约因素**：设备复杂、运行方式复杂、造价高、可靠性差。
- **1954年**：瑞典本土与哥特兰岛间建成**世界第一个工业用海底电缆**直流工程，电压**100千伏**、**96公里**，采用汞弧阀换流。
- **1970年**：瑞典本土与哥特兰岛间扩建**50千伏、1万千瓦**晶闸管换流阀试验工程。
- **1972年**：世界上第一个**晶闸管换流阀背靠背直流工程**在加拿大投运。
- **中国直流工程**：第一个直流输电工程连接**舟山群岛与浙江定海**电网；第二个是1989年**葛上直流**（葛洲坝电厂到上海），±500千伏。
- **云广直流**：今年6月投运的**±800千伏特高压直流工程**，为标志性工程。
## 交流输电发展简史
- **变压器前身**：英国法拉第的电磁感应原理；美国亨利用多匝线圈作原边、少匝线圈作副边，使高电压感应出低电压。
- **1876年**：俄国科学家发明**单相变压器**，主要用于照明。
- **变压器串联问题**：法国和英国科学家联合将多台变压器串联到输电线路中，当电弧灯负荷变化时输电电压受干扰。
- **1883年**：美国特斯拉制造出**感应电机**，为标志性成果。
- **1885年**：匈牙利科学家设计多台变压器**并联运行**连接方式，使并联运行成为可能。
- **交直流之争**：爱迪生与凯尔文主张直流电，理由为直流电效率高、交流电有危险性；爱迪生购买威斯汀豪斯公司的交流发电机卖给监狱给死刑犯执行死刑以证明交流电危险。
- **交流电主张**：威斯汀豪斯和特斯拉主张交流电，因交流电易用变压器升压降压，可在高电压下减少电能损失；交流发电机制造业发展为交流输电做了准备。
- **1886年**：威斯汀豪斯在美国麻省进行**1.2千米、30千伏**交流输电示范；同年又在意大利建成**17英里、2千伏**高压输电线路。
- **1886年**：俄国科学家发明**三相交流电、三相交流输电和三相异步电动机**。
- **交直流之争标志**：从法国到德国的交流输电线路（常被认为是第一条交流输电线路），水电站安装三相发电机和升压变压器，升压后送到德国，在法兰克福建两座降压变电站——一座供展览会照明，另一座供**100马力三相异步电动机**（用于人工瀑布离心泵）。
- **绝缘技术进展**：1898年发明针式绝缘子，美国加利福尼亚输电电压升至**33千伏**；1906年发明悬式绝缘子，建成**110千伏**高压输电。
- **1912年**：发现电晕临界电压与导线直径成比例增加，铝线和钢芯铝绞线开始应用，美国建成**154千伏**线路。
- **1923年**：均压环技术应用，建成**220千伏**输电线路。
- **1936年**：美国**287千伏**线路投运。
- **1952年**：瑞典建成**380千伏**线路，**第一次采用分裂导线**。
- **1956年**：苏联**400千伏**双回线路（平行双回线）投入运行。
- **1965年**：加拿大建成**735千伏**输电系统。
- **1969年**：美国**765千伏**线路并入电网。
- **1985年**：苏联**1150千伏**特高压线路投运，后降压至500千伏运行。
- **中国电压等级发展**：220千伏于**1941年**投运，330千伏于**1972年**投运，500千伏于**1981年**投运，**1000千伏交流特高压于2009年投运**（国家标志性首次投运成果）。
- **直流重新受关注**：交流大电网稳定问题突出后，直流在联网中的优势显现，用于电网与电网之间的连接。
## 三相交流输电优势
- **三相系统优点一**：易于产生旋转磁场，三相电动机容易做驱动。
- **三相系统优点二**：瞬时功率恒定，不随时间变化。
- **三相系统优点三**：输电线路导线量（金属消耗量）最少。
- **应用范围**：除室内配电等小功率供电采用单相交流外，其他场合基本采用三相交流；国内电力系统大多数高压、超高压、特高压输电采用三相交流，**联网时才采用直流**。
- **三相三线制效率**：在直流传输方式和其他交流传输方式中，**三相三线制传输效率最高**。
- **金属消耗量比较**：三相三线制全截面为一根导线截面乘以3，在同等功率和功率因数下**金属消耗量最小**。
- **结论**：因效率最高和金属消耗量最小两个原因，三相三线制在交流输电领域得到广泛应用，至今仍采用。
## 电力系统的形成
- **单机供电缺点**：一台发电机向附近负荷供电，发电机出问题负荷即停电，**供电可靠性差**（如街边小柴油发电机向商铺供电）。
- **提高可靠性方法**：将两台发电机并联，一台出问题时另一台可带重要负荷，连接越来越多形成网络。
- **输电线路参数问题**：导线有**电阻和电抗**两个重要参数，传输功率时产生**电压损耗和功率损耗**；阻抗越大、电流越大，损耗越大，因此输电线路不能太长。
- **提高电压原理**：传输有功功率一定时，电压升高则电流减小，线路有功损耗（I²R）和电压降落（IZ）均减小，输电距离可变长。
- **交流升压手段**：采用**变压器**，送端升压、受端降压，中间电压升高后距离损耗降低。
- **电力系统雏形**：近距离（几十到几百米）发电机可直接相连，远距离则升压传输，多台发电机共同供电形成电力系统雏形。
- **系统化好处一**：一台发电机停运影响不大，只需发电机数目多于负荷即可保证供电。
- **系统化好处二**：可装大机组向大片区域供电，完成从**小发电机组向大发电机组**的转变，直接带来经济效益。
- **远距离输电问题**：距离很长时（如湖北送电华东、云贵送电两广），中间负荷可在输电线路中间装设**变电站**降压供电；稳定问题也可在变电站装设备调整。
## 电力系统、电力网与动力系统定义
- **电力系统定义**：由**发电机、变压器、输电线路和用电设备**构成的整体，完成电能**生产、输送、分配、消耗**四个方面的职能，由发电、输电、配电、用电四个环节组成。
- **电力网定义**：由**变压器和输电线路**构成的网络，即电力系统中去除发电机和用电设备后的部分。
- **动力系统定义**：在电力系统基础上加上发电厂动力部分，如火电厂的**锅炉、汽机及煤炭输送处理系统**，水电厂的**水轮机、水坝、水库**等。
- **概念辨析**：行业中最常说的是**电力网**和**电力系统**两个概念，动力系统概念现在很少说；*电力系统比电力网多了发电机和用电设备，动力系统比电力系统多了动力部分*。
## 电网分类
- **地方电力网**：向固定地方供给电能的网络，电压等级一般在**110千伏及以下**（早期定义35千伏及以下），供电半径**20~50公里**。
- **区域电力网**：电压等级**110、220千伏**及少量500千伏，供电半径**超过50公里**，联系较多发电厂和负荷中心的网络。
- **超高压远距离输送网络**：电压等级**500千伏或1000千伏**（东北有330千伏），任务是把发电厂电能送到负荷中心，距离很远，构成**跨省跨地区大型电力系统**。
- **实例一**：武汉电网属**地方电力网**，主要供电电压110千伏和35千伏，少数地方出现220千伏，供电半径一般在50公里以内。
- **实例二**：华中电网属典型**区域电网**，华中几省紧密联系，供电半径较大。
- **实例三**：葛上直流、三峡到上海输电线路属**超高压远距离输电网络**，连接华中与华东。
- **实例四**：山西晋东南到湖北荆门的特高压系统，跨三个省，连接华北电网和华中电网，属超高压远距离输送网络。
- **电压等级变化规律**：随着电网发展和电压等级提高，各级电网所用电压等级会发生变化，**一般趋向提高**；变电站地位也随之变化。
## 变电站分类
- **按最高电压等级分类**：以站内最高电压等级命名，如华工变电站为**10千伏变电站**（10千伏变380伏），关山变电站为**220千伏变电站**，凤凰山变电站为**500千伏变电站**。
- **按主要功率流向分类**：以**最主要的功率**流向为准——大部分功率从高压侧流向低压侧为**降压变电站**；发电厂内大部分功率从低压侧升到高压侧为**升压变电站**。
# 课堂互动与答疑
**学生**：为什么我国电力系统主要采用交流三相三线制，而不是直流输电？
**教师**：三相三线制在传输效率上最高，同等功率和功率因数下金属消耗量最小；三相交流还易于产生旋转磁场、瞬时功率恒定。国内高压、超高压、特高压输电基本采用三相交流，仅在电网联网时才采用直流方式。
**学生**：电力系统、电力网和动力系统三个概念有什么区别？
**教师**：电力系统由发电机、变压器、输电线路和用电设备构成，完成电能生产、输送、分配、消耗四个环节；电力网仅含变压器和输电线路，不含发电机和用电设备；动力系统在电力系统基础上再加发电厂动力部分（锅炉、汽机、水轮机等）。行业中最常用的是电力网和电力系统两个概念。
**学生**：地方电网、区域电网和超高压远距离输送网络如何区分？
**教师**：按电压等级和供电半径区分：地方电网电压110千伏及以下（早期35千伏及以下），供电半径20~50公里；区域电网电压110、220千伏及少量500千伏，供电半径超50公里；超高压远距离输送网络电压500千伏或1000千伏（东北有330千伏），构成跨省跨地区大型电力系统。武汉电网属地方电网，华中电网属区域电网，三峡到上海线路属超高压远距离输送网络。
**学生**：为什么输电距离不能太长，提高电压后就能送得更远？
**教师**：输电线路有电阻和电抗，传输功率时产生电压损耗和功率损耗，距离越长损耗越大、电压降得越低。提高电压后，传输相同功率时电流减小，线路上的有功损耗（I²R）和电压降落（IZ）随之降低，输电距离就能变长。交流升压采用变压器，送端升压、受端降压。
# 课后任务与学习建议
## 复习重点
- **电力系统四个环节**：掌握发电、输电、配电、用电四个典型环节的构成、工作原理及与电力系统整体的关系，建立电力系统整体概念。
- **电力系统、电力网、动力系统定义**：电力系统＝发电机＋变压器＋输电线路＋用电设备，完成电能生产、输送、分配、消耗；电力网＝变压器＋输电线路（不含发电机和用电设备）；动力系统＝电力系统＋发电厂动力部分（锅炉、汽机、水轮机等）。
- **电力系统特点及要求**：电能不能大量储存，决定有功功率和无功功率的动态平衡问题，是运行调整和设计的基础；理解由特点引起的设计、运行、维护方面的基础理论。
- **电能质量指标**：掌握国家标准对电能质量指标规定的各种范围。
- **额定电压规定**：规定繁杂，注意寻找额定电压规定之间的基本规律，注意随电网发展各级电网电压等级会提高。
- **中心点接地方式**：了解电力系统常用接地方式，特别是工作接地（中心点接地方式）的不同特点；该内容直接影响后续多个章节，学习较困难。
- **电网分类**：地方电力网（110千伏及以下，早期35千伏及以下，供电半径20~50公里）、区域电力网（110、220千伏及少量500千伏，供电半径超50公里）、超高压远距离输送网络（500千伏或1000千伏，东北有330千伏，跨省跨地区）。
- **变电站分类**：按最高电压等级分类（如10千伏、220千伏、500千伏变电站）；按主要功率流向分为降压变电站（高压侧流向低压侧）和升压变电站（低压侧流向高压侧）。
- **三相交流输电优势**：易于产生旋转磁场、瞬时功率恒定、输电线路金属消耗量最少；三相三线制传输效率最高，金属消耗量在同等功率和功率因数下最小。
## 学习建议
- **补充前修知识**：对电路理论和电机学有欠缺的同学，应下去补充相关内容，特别是变压器和同步电机的相关知识，本课程要求较高。
- **掌握基本概念方法**：注意概念的内涵和外延，并适当结合实际；从电力系统的特点和要求出发，从最基础原理推导，不要死记结论——使用条件变化时结论可能失效。
- **梳理额定电压规律**：注意寻找额定电压规定之间的基本规律，避免因规定繁杂而混淆。
- **比较接地方式特点**：注意比较各种不同中心点接地方式之间的特点，为后续章节学习打基础。
- **课后阅读电力发展史**：作为电气专业学生应了解电力发展的基本历史，推荐三本书供课后阅读，了解交直流输电发展历程及国内外电压等级提升过程。</t>
        </is>
      </c>
      <c r="D13" s="10" t="n">
        <v>87.40000000000001</v>
      </c>
      <c r="E13" t="inlineStr">
        <is>
          <t>11163/7315</t>
        </is>
      </c>
    </row>
    <row r="14" ht="13.5" customHeight="1" s="9">
      <c r="A14" s="6" t="inlineStr">
        <is>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is>
      </c>
      <c r="B14" s="2" t="inlineStr">
        <is>
          <t>知识笔记</t>
        </is>
      </c>
      <c r="C14" t="inlineStr">
        <is>
          <t># 知识主题与概述
皮卡在视频中评论了Stack Exchange上关于调和级数发散性的证明，首先介绍了级数收敛与发散的定义，然后逐一评述了网友的证明方法。第一个证明通过分组估计，每组和大于1/2，从而证明发散；皮卡补充了柯西凝聚判别法，指出其证明思路与分组估计完全一致，可推广到非负不增序列。第二个证明使用不等式e^{1/k}&gt;1+1/k，通过连乘积得到H_n&gt;log(n+1)，皮卡认为该证明技巧性强但故弄玄虚，本质与积分估计法相同。积分估计法用积分近似H_n，证明H_n&gt;log(n+1)；差分法使用Stolz定理，通过差分极限为1证明H_n/log n→1，但皮卡认为差分法不自然，因为需要预先知道结果。皮卡总结认为调和级数发散，但不同证明方法有优劣，某些证明故弄玄虚，妨碍理解。
# 核心概念
## 级数收敛与发散
- **收敛**：对于正向级数，若存在固定实数a，使得所有部分和s_n都小于a，则级数收敛。
- **发散**：若部分和s_n大于某个无界递增的b_n，即对任意大的数b，总能通过增大n使b_n超过b，则级数发散。
## 分组估计法
- 第一个网友的证明：将调和级数分组，每组和大于1/2，如1/2+1/3&gt;1/2，1/4+1/5+1/6+1/7&gt;1/2，以此类推，从而证明发散。
- 皮卡指出，这种分组求和思路与高斯求和（1+2+…+100）类似，核心是发现具有良好性质的组，将求和问题转化为计数问题。
## 柯西凝聚判别法
- 证明过程与分组估计完全一致，通过分组取上界或下界，将原级数的收敛性转化为加速序列的收敛性。
- 适用于非负不增序列，如调和级数∑1/n的收敛性等价于∑2^k·(1/2^k)=∑1，后者显然发散。
## 积分估计法
- 用积分曲线面积近似H_n，因H_n的几何意义是矩形面积，始终大于下方曲边梯形面积，故H_n&gt;∫1/x dx=log x，从而得到H_n&gt;log(n+1)。
- 皮卡认为这是正规流派，但笔记中内容较多，未详细展开。
## 差分法（Stolz定理）
- 通过比较H_n与log n的差分，分子差分（H_{n+1}-H_n=1/(n+1)）和分母差分（log(n+1)-log n=log(1+1/n)）的极限为1，从而证明H_n/log n→1。
- 皮卡认为此法不自然，因为需要预先知道结果才能选择log n作为比较对象。
# 核心结论
## 核心结论
- 调和级数∑1/n是发散的，因为其部分和H_n无上界。
- 柯西凝聚判别法可推广到非负不增序列，其证明思路与分组估计完全一致。
- 积分估计法证明H_n&gt;log(n+1)，因log函数无上界，故H_n发散。
- 差分法通过Stolz定理证明H_n/log n→1，从而说明H_n与log n同增长级别，但皮卡认为此法不自然。
## 易混点与适用边界
- 收敛与发散的定义：收敛要求所有部分和小于某个固定上界，发散则要求部分和无界递增。
- 柯西凝聚判别法仅适用于非负不增序列，不适用于一般级数。
- 差分法需要预先知道结果（如H_n/log n→1）才能选择比较对象，否则难以自然想到。
- 积分估计法依赖于微积分知识，而e^{1/k}&gt;1+1/k不等式本身需要微积分证明，但也可用中学知识近似。
## 待澄清问题
- 皮卡提到“dialectic分解”思路，但表示“一时半会也讲不清楚”，留待后续。
- 皮卡表示“后面还有很多方法，我们有机会再评论”，并计划根据反响决定是否出下一期。</t>
        </is>
      </c>
      <c r="D14" s="10" t="n">
        <v>54.4</v>
      </c>
      <c r="E14" t="inlineStr">
        <is>
          <t>7465/1465</t>
        </is>
      </c>
    </row>
    <row r="15" ht="13.5" customHeight="1" s="9">
      <c r="A15" s="6" t="inlineStr">
        <is>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is>
      </c>
      <c r="B15" s="2" t="inlineStr">
        <is>
          <t>知识笔记</t>
        </is>
      </c>
      <c r="C15" t="inlineStr">
        <is>
          <t># 知识主题与概述
本次分享会由工作室老李主讲，围绕GitHub这一全球性开源资源平台展开，核心议题包括两大板块：一是介绍平台上实用、热门的开源项目，二是解决国内用户访问GitHub时常遇到的网络不通、页面全英文、原生搜索不好用等问题。整体逻辑框架为“项目展示—问题解决—技巧演示”，先通过多个具体项目（如工作性价比评估、表情包合集、AI工具等）展示平台价值，再针对访问、汉化、搜索三大痛点逐一给出解决方案，并讲解项目页面的基本结构与判断项目活跃度的方法。分享基调为实用导向，所有提及项目与技巧均整理成文档供观众领取。
# 核心概念
## GitHub 实用项目
- **工作性价比评估项目**：输入年薪、工作地区、年假、通勤时长、学历、工作年限、领导同事情况等，综合评估后给出工作性价比分数和评级；演示中程序员岗位获评「性价比还不错，优质牛马」。
- **表情包博物馆**：收录国内过去几年全网爆火的表情包大合集，含甄嬛传、罗翔、特朗普、马保国等主题，可用于斗图。
- **健康活到150岁指南**：分享经科学验证的健康知识，如间歇性进食促进胆汁代谢、炎症自愈，吃天然发酵类食品改善肠道菌群生态。
- **一键做证件照项目**：上传大头照即可一键抠图换背景，生成不同标准的证件照和多种规格打印模板。
- **丐版健身教练项目**：选择要练习的肌肉群（如腹肌），提供用身体自重练习的参考动画，无需健身器材或真人教练。
- **教材合集项目**：收集国内所有小学、初中、高中及部分大学的PDF教材，全部免费使用。
- **全自动视频生成项目**：即 `morning printer Turbo`，近期热门。
- **声音克隆模型 `ChatBox TTS`**：零样本语音克隆，情感控制到位，克隆声音接近真人；上传自己的音频即可合成指定台词。
- **AI学习资源库**：涵盖大语言模型、RAG、AI Agents、MSI等最新AI技术，作者整理成500多页PDF文档，含大量示意图。
- **`awesome AI Apps` 项目**：收录大模型最新的Agent应用，如医学影像数据分析Agent、AI投资Agent、竞争对手情报分析Agent等，可用于跟进AI应用落地案例或寻找创业点子。
## GitHub 访问技巧
- **Watt Toolkit 加速软件**：进入官网选择适合电脑的版本下载安装，打开后找到网络加速并勾选「GitHub加速」，即可流畅访问。
- **GitHub 镜像站**：如 `gh-proxy`，浏览器点开即可直接访问GitHub，默认是镜像的项目地址，也可搜索其他项目；速度和稳定性比加速软件差。
- **VPN（魔法）**：主讲人个人最推荐的方式，需自行注册GitHub账号，用国内QQ邮箱即可注册。
## GitHub 页面汉化
- **浏览器翻译插件**：谷歌浏览器推荐 `谷歌翻译` 或 `沉浸式翻译`，安装后可将网页直接翻译成中文，翻译效果基本够用；安装路径为「三个点 → 拓展程序 → 管理拓展程序 → 搜索插件名安装」。
- **汉化插件**：动手能力强的用户可额外安装，实现更彻底的界面汉化。
## GitHub 搜索方法
- **原生搜索**：顶部搜索框输入关键词（如录屏的英文 `screen record`），默认按与搜索词的匹配度排序；更常用的是按 `star` 数排序，star越多代表项目越受欢迎、江湖地位越高。
- **原生搜索的局限**：按搜索词精准匹配，如搜 `screen record` 与 `screen recording` 按星标排序结果不同，导致英文不好时搜得不够准确、全面。
- **AI 搜索（推荐）**：在ChatGPT中用中文提问（如「在GitHub上帮我找好用的录屏软件」），AI可搜齐热门工具并总结成表格，弥补精准匹配的不足。
## GitHub 项目页面结构
- **项目本质**：GitHub上的一个项目本质上是一个文件夹，项目名字下面是子文件夹或文件。
- **`watch` / `fork` / `star`**：分别对应关注项目、复制项目到自己的账号、收藏和点赞（一键三连）。
- **`About` 简介**：项目右侧的一句话简介，说明项目是干什么的。
- **`Release` 安装包**：存放软件的安装包，点开可看到最新版本并下载安装。
- **`Readme` 文件**：项目的说明书，默认在项目最下面展开显示，用于了解项目用途、安装使用方法，是了解一个项目必看的内容。
- **`commit` 日期**：每个文件最近的提交日期即最近更新时间；若更新日期是好几年前，大概率是无人维护的僵尸项目。
- **`Explore` → `Trending`**：可查看全站当天、本周、本月最热门的项目，适合跟踪最新热门开源项目。
- **AI 获取热门项目**：让ChatGPT找 `GitHub daily`，可及时分享各种最新最热门的项目。
# 核心结论
## 核心结论
- **GitHub 定位**：GitHub 不只是代码托管平台，而是几乎能找到资源、教程、工具的巨大宝藏资源库，包含名校公开课（麻省理工、斯坦福）、大厂面试题与面试经验（字节、阿里、腾讯）、大公司最新开源大模型（Google、阿里）、AI 副业教程等正经内容，以及表情包合集、养生指南、大厂黑名单等非正经内容。
- **工作性价比评估项目**：输入年薪、工作地区、年假、通勤时长、学历、工作年限、领导同事评价等因素，综合给出工作性价比分数和评级；主讲人测试其程序员工作，评估结果为「性价比还不错，优质牛马」。
- **表情包博物馆项目**：收录国内过去几年全网爆火的表情包大合集，含甄嬛传、罗翔、特朗普、马保国等主题。
- **健康活到 150 岁指南项目**：分享经科学验证的健康知识，如间歇性进食促进胆汁代谢、炎症自愈，吃天然发酵类食品改善肠道菌群生态。
- **一键证件照项目**：上传大头照即可一键抠图换背景，生成不同标准证件照和多种规格打印模板。
- **健身教练项目**：选择要练习的肌肉群（如腹肌），提供用身体自重练习的参考动画，适合请不起真人教练的用户。
- **教材合集项目**：收集国内所有小学、初中、高中及部分大学 PDF 教材，全部免费。
- **全自动视频生成项目**：即 Morning Printer Turbo，为近期热门项目。
- **声音克隆模型 ChatBox TTS**：零样本语音克隆，情感控制到位，克隆声音像真人说话；上传自己的音频可合成英文台词。
- **AI 学习资源库项目**：涵盖大语言模型、RAG、AI Agents、MSI 等最新 AI 技术，作者整理成 500 多页 PDF 文档，含大量示意图。
- **Awesome AI Apps 项目**：收录大模型最新 Agent 应用，如医学影像数据分析 Agent、AI 投资 Agent、竞争对手情报分析 Agent，可用于跟进 AI 应用落地案例或寻找创业点子。
- **GitHub 访问方案**：国内访问 GitHub 又卡又难，提供三种方法——Watt Toolkit 加速软件（进入网站选择适合电脑的版本下载安装，打开后找到网络加速勾选 GitHub 加速）、GitHub 镜像站（如 gh-proxy，浏览器点开直接访问，可搜索 GitHub 其他项目）、VPN（魔法，主讲人个人最推荐）。
- **页面汉化方案**：给浏览器安装翻译插件，谷歌浏览器推荐谷歌翻译或沉浸式翻译，可将网页翻译成中文；动手能力强的可安装汉化插件。
- **GitHub 搜索方法**：原生搜索按搜索词精准匹配排序，如搜 screen record 和 screen recording 按星标排序结果不同；推荐用 ChatGPT 等 AI 搜索，用中文提问即可汇总热门录屏工具并总结成表格。
- **项目页面结构**：GitHub 项目本质是文件夹，项目名字下面是子文件夹或文件；Watch 是关注项目，Fork 是复制项目到自己的账号，Star 相当于收藏和点赞；About 是项目简介；Release 是软件安装包，可下载最新版本。
- **Readme 文件**：是项目说明书，默认在项目最下面展开显示，可了解项目用途、安装使用方法，是了解项目必看的内容。
- **项目维护判断**：通过每个文件最近的 commit 日期判断，可理解为最近更新时间；更新日期是好几年前的，大概率是没人维护的僵尸项目。
- **热门项目追踪**：点开左侧 Explore 的 Trending，可查看全站当天、本周、本月最热门项目；也可让 ChatGPT 找 GitHub daily，及时分享最新最热门项目。
## 易混点与适用边界
- **三种访问方式对比**：Watt Toolkit 加速软件对大多数人更流畅；镜像站速度和稳定性更差；VPN（魔法）为主讲人个人最推荐，但需自行解决获取方式。
- **GitHub 原生搜索局限**：按精准匹配排序，同一含义的不同英文表达（如 screen record 与 screen recording）搜索结果不同，对英文不好、搜索内容不准确不全面的用户不友好。
- **Star 数与项目质量**：Star 数代表项目受欢迎程度（江湖地位），Star 越多项目越受欢迎，但原文未说明 Star 数与项目质量直接等同。
- **commit 日期判断**：commit 日期可理解为最近更新时间，多年未更新大概率是僵尸项目，但原文未给出具体年限标准。
- **镜像站使用限制**：默认是镜像的项目地址，但搜索 GitHub 其他项目没有问题。
- **GitHub 注册**：注册很简单，用国内 QQ 邮箱就可以。</t>
        </is>
      </c>
      <c r="D15" s="10" t="n">
        <v>39.1</v>
      </c>
      <c r="E15" t="inlineStr">
        <is>
          <t>4014/4076</t>
        </is>
      </c>
    </row>
    <row r="16" ht="13.5" customHeight="1" s="9">
      <c r="A16" s="6" t="inlineStr">
        <is>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is>
      </c>
      <c r="B16" s="2" t="inlineStr">
        <is>
          <t>采访记录</t>
        </is>
      </c>
      <c r="C16" t="inlineStr">
        <is>
          <t># 访谈概述
本期《锵锵三人行》围绕日本历史剧《大奥》与明朝历史展开，主持人窦文涛与嘉宾马未都、《明朝那些事儿》作者当年明月（石悦）等对谈，对比中日文化差异，并延伸至明朝历史特点与历史研究难点。关于《大奥》，嘉宾认为它是《大长今》之后最有影响的外国电视剧，其历史背景对应中国晚明到清初及明治维新前；讨论指出日本文化体现极端精神，所有事情做到尽头，与中国的“中庸”文化形成鲜明对比，日本社会鄙视投机取巧，终身雇佣制下跳槽率最低，民族重视死亡，经济危机时身家万贯者剖腹自杀。关于明朝历史，当年明月表示明史资料最多，但同一事件可能有7个不同说法；朱元璋从乞丐当上皇帝，独此一份，定下明朝规章制度基本无大改动；明末市民生活轻松，江浙工商业兴起，三言二拍等娱乐产品出现；1644年明朝灭亡时北京闹瘟疫（疙瘩瘟，可能为天花）。关于明朝皇帝，讨论涉及明武宗正德要去江南被大臣跪金水桥抗议、打死十几人仍不让去，正德到扬州要东西政府不给、让人把酒席折成银两带回；天启帝爱当木匠，干完活让大臣去卖，卖得好有成就感。嘉宾认为正德皇帝被评价为最荒淫可能因嘉靖非其亲生，编史有偏颇。
# 访谈详细记录
## 日本历史剧《大奥》与日本文化
- **《大奥》反响**：发言者1引出刚播完并引起很大反响的《大奥》，发言者3认为它是《大长今》以后最有影响的外国电视剧，发言者2表示赞同。
- **《大奥》历史背景**：发言者3介绍该剧三部曲，前两部对应中国晚明到清初时段，发言者2补充后一部在明治维新之前，是一部有跨越性的历史剧。
- **大奥含义**：发言者3解释大奥即普通话的后宫，日语中「奥」指很深的地方、屋子最里处，发言者2补充另一层意思是一般人不准进去。
- **大奥的规矩**：发言者3指出大奥定下非常严谨的规矩，包括后宫不许进人；发言者1描述将军出场时所有人呈45度鞠躬、依次鞠躬的场面华丽。
- **幕府将军与天皇关系**：发言者2说明天皇一直是摆设，实际权力在幕府将军，德川家康开创德川幕府后权力集中在一人手上；天皇曾因想举办活动没钱找将军要钱被拒，后以退位抗议。
- **日本极端精神**：发言者2认为从《大奥》可看出日本文化从头到尾没变，是一种极端精神，所有事情要做到尽头；发言者3补充它是发自内心的，与中国人不同。
- **战后经济成就**：发言者3指出日本1945年战后用30年时间成为世界第二经济强国，以绝对量计，是强国中唯一没有资源的国家。
## 中日文化差异与日本民族精神
- **中国中庸与日本极端**：发言者2对比中国中庸文化与日本极端精神，以家具店硬木刻云彩为例，说明中国讲究融合、走最适合的路；日本则坚持一个原则，如炮手开炮时忘记一切只记得把炮开出去即达最高境界。
- **日本忠诚文化**：发言者3认为日本是忠诚文化的典型国度，忠诚靠具体事例体现而非说教，如《大奥》中阿福25岁进大奥当奶妈、65岁去世，40年完全出于公心做事。
- **终身雇佣制**：发言者2指出日本跳槽率最低，终身雇佣制下缺乏竞争却仍保持高积极性，是西方经济学家不能理解的经济学奇迹。
- **投机取巧无生存环境**：发言者3认为日本投机取巧的人没有生存环境，社会文化的鄙视非常难过；举例日本做绳子做到全日本第一的人，几年不赚钱铺市场，最终通过两边各加2%获利。
- **日本重视死亡**：发言者2认为日本民族有寻死的潜在欲望，因岛国生存条件恶劣而对死亡不惧怕甚至有点向往；发言者3修正为日本民族不是藐视生命而是重视死亡，经济危机时身家万贯者剖腹自杀。
- **日本豆腐厂见闻**：发言者3讲述参观日本最底层工厂，豆腐厂规定当天做当天卖，所有人夜里11:45坐好等钟，12点整一起开始工作，到四点多干完上市，无人闲聊。
## 明朝历史与《明朝那些事》
- **《明朝那些事》发行**：发言者3指出该书发行量排行第一，各报文学类都是第一。
- **写明史的原因**：发言者2解释写明史因明史资料最多，历史研究有两个难点：先秦春秋没史料，明清史料太多但同一事件可能有7个不同说法，如罗生门。
- **明朝历史特点**：发言者3指出明朝260多年过程本身跌宕起伏，几次要死没死，如土木堡之变、夺门之变，皇上被瓦剌军抓起来又扶弟弟上位，构成现代版电视剧情节。
- **朱元璋评价**：发言者2认为朱元璋从乞丐当上皇帝独此一份，刘邦好歹是亭长；朱元璋定下明朝规章制度基本无大改动，是了不起的人才；发言者3认为人的因素最大，改变时势一定出现一个人。
- **朱元璋参加起义**：发言者2讲述朱元璋因送信被人告发，没办法只能去参加起义军，当年造反是要掉脑袋的风险事。
- **明末市民生活**：发言者2指出明末很多真相被掩盖，市民生活轻松舒服，想去哪去哪，江浙一带工商业兴起，给人当雇工活得很滋润，三言二拍等娱乐产品出现说明有养活自己的资本；李自成起义因陕西大规模灾荒。
- **明末艺术**：发言者3指出明末工艺变得非常精细，日本派大量工匠来交流学习；文征明、唐寅、董其昌都是那个时期的人，画的是小桥流水，而八大山人画翻白眼是对社会愤愤不平。
- **历史经验教训**：发言者2提出「我们从历史中得到的唯一教训就是我们从来没有从历史中得到过教训」，因历史事件发生时有背景，史书记载只是照片，而古人的生活是录像，不能套用经验。
- **1644年北京瘟疫**：发言者2提到1644年明朝灭亡那年北京闹瘟疫，叫疙瘩瘟，今天看就是天花，曾与老师王佩奇交流认为明朝亡得蹊跷。
- **王朝300年大限**：发言者3指出中国历史王朝300年是大限，跨过300年的只有宋朝（南北宋接上，退让大半个国土延续319年），汉朝中间隔断14年，唐朝明朝清朝都没跨过。
## 明朝皇帝趣事与历史评价
- **明武宗去江南**：发言者2讲述正德皇帝要去江南，大臣全跪金水桥前抗议，皇帝气坏了到锦衣卫打死十几人还是不让去。
- **正德打秋风**：发言者2讲述正德到扬州要东西，政府说没有，皇帝不生气，让人准备酒席后说吃不了，把酒席折合成银两带回去。
- **天启帝当木匠**：发言者3讲述天启帝干完活差大臣去卖，回来打听卖得怎么样，卖得很好成就感特大；发言者4调侃要是亲自去卖更好卖。
- **正德被写坏的推测**：发言者2认为正德皇帝被评价为最荒淫可能因嘉靖非其亲生而是堂兄弟，嘉靖指派杨廷和等人编《明武宗实录》有偏颇；正德从江南回来在通州先停半天，派人打探京城有无埋伏，显示很有城府。
- **正德豹房**：发言者2解释豹房其实是玩的地方，有动物园养了豹子，也有女人，但后宫也是女人，不影响其他问题。
- **正德无后**：发言者3指出正德是明朝定论最荒淫的皇帝，没少找女人但不留种，没有生育能力，到嘉靖这拐弯。
- **正德对宫廷外女人有兴趣**：发言者3认为正德对宫廷内女人没兴趣因禁忌太多，发言者4补充宫廷女人被训练过、太保守，民女不知他是谁所以不一样。
- **明式家具地位**：发言者3指出天启帝当木匠从侧面反映当时社会时尚，明式家具在国际上地位高绝非偶然，皇帝下大力气做可见影响之深。
# 关键引语与金句
&gt; 慢慢来才是最快的方法。
- 回应如何理解日本文化中按角色行事、不夹杂个人小聪明的思维方式。
&gt; 我们从历史中得到的唯一教训就是我们从来没有从历史中得到过教训。
- 回应明朝兴亡能否体现历史经验教训的问题。
&gt; 历史它那个事儿发生的时候是有背景的……你不比前人聪明，你甚至可能比前人笨，当那种情况出现的时候，你也得那么办。
- 解释为何不能简单套用历史经验教训。
&gt; 史书上记载下来的是什么？照片。我们实际的生活，古人的生活都是录像。
- 说明史书记载与真实历史之间的差距，回应为何很多人对历史有误解。
&gt; 日本的文化跟中国的文化存在一个极大的不同……中国的文化精神是什么？是中庸。
- 对比中日文化差异，以马未都家具店中硬木刻云彩为例说明中庸之道。
&gt; 日本人的这种极端精神，使一个国家在战后这样一个不利的局面下，只需要30年的时间它进入世界第二经济强国。
- 回应日本战后经济崛起的原因，强调其全民族极端精神的作用。
&gt; 日本民族它不是藐视生命，它是重视死亡，它是翻着的。
- 回应发言者2关于日本藐视生命的说法，以经济危机时身家万贯者剖腹自杀为例。
&gt; 一个人到战场上死生多少年没死，最后积累下来经验，然后我一上战场我就知道敌人会往哪走，我该怎么打。天赋。
- 以《亮剑》中李云龙为例，解释朱元璋这类人物的军事天赋。</t>
        </is>
      </c>
      <c r="D16" s="10" t="n">
        <v>61.4</v>
      </c>
      <c r="E16" t="inlineStr">
        <is>
          <t>14719/3519</t>
        </is>
      </c>
    </row>
    <row r="17" ht="13.5" customHeight="1" s="9">
      <c r="A17" s="6" t="inlineStr">
        <is>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is>
      </c>
      <c r="B17" s="2" t="inlineStr">
        <is>
          <t>就医咨询</t>
        </is>
      </c>
      <c r="C17" t="inlineStr">
        <is>
          <t># 就诊概况
48岁男性患者张学恒，在成都轻工研究所从事科研工作，因上腹反复疼痛4年、近3个月发作频繁，于消化专科就诊。医生初步了解病情后，建议留大便检查并预约胃镜检查，以明确有无消化道出血及进一步诊治。
# 病史与背景
- **现病史**：上腹疼痛4年，每年春季多发，近3个月反复发作；疼痛位于心窝部，呈烧灼感，冷食、硬食、辛辣及工作紧张时诱发，无夜间痛醒，疼痛可忍受。
  - 一年前及三个月前各出现一次黑便，每次持续约一个月，每日最多两次，大便形状基本正常，仅颜色改变；两次均住院治疗，住院后大便转黄。
  - 近两个月呕吐数次，吐出酸味黄水样物，含未消化食物，多在晚上感觉胀时吐出。
- **既往史**：16岁时患甲肝，在三医院住院一个月，出院时肝功能正常，此后体检肝功均正常；无手术史。
- **过敏史**：小时候因扁桃体炎在成都市儿童医院就诊，服用磺胺药后左手出现红疹，持续半个月，确诊磺胺药过敏，此后不能服用磺胺药。
- **家族史**：父亲76岁，有低血压；母亲75岁，有冠心病；婶婶（叔叔的爱人）有胃癌，患者担心自己是否患胃癌。
- **个人史**：成都人，在成都轻工研究所从事科研工作，工作紧张，经常加班熬夜；吸烟史，以前每天一包，现限制在10支以内；偶尔饮酒，平时不喝；喝茶，一天泡两次。
- **近期用药**：近期服用奥美拉唑、阿莫西林及医务室配制的胃炎合剂，效果不佳。
# 诊断与检查结果
医生初步判断患者病情与工作紧张、饮食刺激有关，建议进一步检查以明确诊断。患者有两次黑便史，需明确有无消化道出血；有胃癌家族史（婶婶），虽无血缘关系，但患者有担忧。
# 治疗方案与医嘱
- **检查安排**：留大便检查以明确有无出血；预约后天做胃镜检查，患者要求后天以便爱人陪同，医生同意。
- **生活方式**：建议戒烟、少喝酒，因吸烟饮酒可能加重胃部疾病；注意避免熬夜，因工作紧张劳累可能诱发疼痛。
- **复诊与陪同**：胃镜活检后恰逢张大夫查房，便于进一步诊治；患者爱人后天可请假陪同。
| 药品名称 | 用法用量 | 注意事项 |
| --- | --- | --- |
| 奥美拉唑 | — | — |
| 阿莫西林 | — | — |
| 胃炎合剂 | — | — |
# 复诊与预警信号
复诊时间：后天做胃镜检查，胃镜活检后由张大夫查房。
⚠️ 需立即就医的预警症状：原文未提及。</t>
        </is>
      </c>
      <c r="D17" s="10" t="n">
        <v>38.1</v>
      </c>
      <c r="E17" t="inlineStr">
        <is>
          <t>8519/1010</t>
        </is>
      </c>
    </row>
    <row r="18" ht="13.5" customHeight="1" s="9">
      <c r="A18" s="6" t="inlineStr">
        <is>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is>
      </c>
      <c r="B18" s="2" t="inlineStr">
        <is>
          <t>庭审记录</t>
        </is>
      </c>
      <c r="C18" t="inlineStr">
        <is>
          <t># 庭审概况
本案系上诉人国家开发银行与被上诉人云南东源电力股份有限公司、云南东源曲靖电力有限公司、招银金融租赁有限公司金融借款合同纠纷二审案件，由最高人民法院依法组成合议庭公开开庭审理。庭审围绕三个争议焦点展开：一是抵押权与融资租赁所有权冲突问题，二是罚息、复利计算问题，三是违约金连带责任问题。各方充分发表意见后，合议庭休庭评议并提出调解方案，各方均无异议，同意签署调解协议。
# 原告诉称与被告辩称
| 方 | 诉讼请求/答辩意见 | 事实与理由 |
| --- | --- | --- |
| 上诉人（国开行） | 请求撤销一审判决相关部分，改判支持其利息、罚息、复利计算主张及违约金请求 | 主张其审查义务仅限于抵押人曲靖电力公司，已尽合理审慎义务；2018年核查时曲靖电力公司名下无融资租赁登记，构成善意取得；罚息、复利计算有合同依据；东源煤电未配合办理账户管理及柜台签约手续，构成违约，应支付千分之一违约金 |
| 被上诉人（东源电力、东源曲靖电力） | 请求驳回上诉，维持原判 | 主张国开行未在抵押时查询融资租赁登记，不构成善意取得；罚息不应作为复利计算基数，依据《人民币利率管理规定》第21条；国开行宣布贷款提前到期未给合理期限，不符合合同约定；国开行未举证东源煤电违反柜台协议，且未发出限期纠正通知，主张违约金不符合合同约定 |
| 被上诉人（招银租赁） | 请求驳回上诉，维持原判 | 主张国开行未在抵押时查询融资租赁登记，不构成善意取得；其2012年已取得设备所有权，国开行2015年抵押登记在后；东源煤电出资行为系无权处分；融资租赁登记系行业指导性规范，不当然产生物权后果 |
# 举证与法庭调查
## 举证与质证
- **国开行提交证据**：2018年9月对曲靖电力公司的融资租赁查询证书，证明其已尽审查义务；招银租赁质证认为该查询证书不符合要求，依据2014年93号文《中国人民银行关于融资租赁登记系统规定》，国开行在抵押时点未进行相应查询。
- **国开行提交证据**：工商部门出资证明及权属证明（证据四冶合成58亿），证明已对设备所有权尽到合理审慎义务；招银租赁质证认为工商登记公示的是出资行为而非动产所有权，东源煤电出资行为系无权处分。
- **招银租赁提交证据**：回租设备清单（一审证据7页），载明设备名称、生产厂家，但未载明型号；国开行质证认为该清单无法识别设备唯一性，且铭牌生产日期均在2013年以后，与清单提示的2012年3月1日不符。
- **招银租赁提交证据**：2013年和2015年审计报告（证据82页、95页），载明曲靖电力公司注册资本4亿元且已实缴；国开行质证认为该报告已载明设备出资事项，招银租赁应当知道设备出资情况。
- **国开行提交证据**：2018年核查表（证据108页），证明曲靖电力公司名下无融资租赁登记；招银租赁质证认为该核查表系诉讼中截图，不能证明抵押时点已查询。
## 证人/鉴定陈述
未提及
## 法官询问
- **审判员询问**：中国人民银行征信中心融资租赁登记的性质及法律后果？国开行代理人认为系行业强制规范，招银租赁代理人认为系行业指导性规范，东源公司代理人认为不当然产生物权后果。
- **审判员询问**：融资租赁登记系统查询方式能否保证查询到登记结果？国开行代理人称只能按单位名称查询；招银租赁代理人称可按公司名称或设备查询，但设备查询涉及种类物区分问题。
- **审判员询问**：国开行贷款前审查是否有内部规定要求必须查询融资租赁登记，未查到需将查询单作为风控材料？国开行代理人称无此规定，因未查到结果故未保留查询单。
- **审判员询问**：融资租赁登记系统中设备唯一标识码是否必填项？招银租赁代理人称非必填项，本案设备无唯一标识码，故未登记。
- **审判员询问**：查询通知规定银行办理抵押前应查询，违反该规范是否导致最高人民法院相关司法解释的适用？国开行代理人认为系基本查询义务，已对抵押人完成审慎调查；招银租赁代理人认为银行未查询即违反行业规范，应承担不利后果。
- **审判员询问**：若通过其他渠道获知设备存在租赁，是否仍需通过央行系统查询？招银租赁代理人认为仍需查询，因央行规定出台背景即实务中大量纠纷，其他方式无法证明善意。
- **审判员询问**：不同登记机构产生登记瑕疵时，各方有何意见和建议？国开行代理人认为系系统信息不完整、体系相互隔离所致；东源公司代理人称非专业机构，无具体建议；招银租赁代理人建议从立法层面统一规范，发挥行业协会作用，并推动登记平台统一。
## 争议焦点与辩论
### 争议焦点一：抵押权与融资租赁所有权冲突
- **国开行主张**：其审查义务仅限于抵押人曲靖电力公司，已尽合理审慎义务，2018年核查时曲靖电力公司名下无融资租赁登记，构成善意取得。
- **招银租赁主张**：国开行未在抵押时查询融资租赁登记，不构成善意取得；其2012年已取得设备所有权，国开行2015年抵押登记在后。
- **东源公司主张**：其2015年12月2日发送的邮件已用红色标注抵押设备与招银租赁设备名称一致，国开行作为专业金融机构应尽注意义务。
- **国开行反驳**：邮件系贷后审查材料，非针对抵押物的告知；统计表中招银租赁栏记载的抵押类型为不动产抵押，与融资租赁不同，无法得出已告知的结论。
### 争议焦点二：罚息、复利计算
- **国开行主张**：利息计算至2018年6月12日合计2179万5727.08元，罚息自2018年6月13日至2019年2月19日合计4105万零579.57元，复利自2018年3月21日至2019年2月19日合计191.8206万元。
- **东源公司主张**：罚息不应作为复利计算基数，依据《人民币利率管理规定》第21条；国开行宣布贷款提前到期未给合理期限，不符合合同约定。
- **国开行反驳**：合同第六条第四款明确约定罚息计收复利，且东源煤电未上诉，一审已支持罚息复利部分。
### 争议焦点三：违约金连带责任
- **国开行主张**：依据借款合同第24条第三项，东源煤电应支付千分之一违约金；东源煤电未按合同第13条、第14条配合办理账户管理及柜台签约手续，构成违约。
- **东源公司主张**：国开行未举证东源煤电违反柜台协议，且未发出限期纠正通知，主张违约金不符合合同约定。
# 庭审结果
本案经合议庭评议，各方当事人对调解方案均无异议，同意签署调解协议。调解方案主要内容：国开行对东源公司债权扣除已清偿本金后，利息、罚息、复利合计6474.4513万元；招银租赁对涉案六项设备享有所有权，对应债权数额1377.4137万元；国开行对93项设备有抵押权，招银租赁对六项设备有所有权；双方同意整体盘活处置设备，变现款各50%，费用各担50%；若变现不足，招银租赁未实现债权按破产重整计划预留方案实现；各方对一审判决第二项、第四项无争议。合议庭将根据《中华人民共和国民事诉讼法》第97条规定出具调解书。</t>
        </is>
      </c>
      <c r="D18" s="10" t="n">
        <v>66.3</v>
      </c>
      <c r="E18" t="inlineStr">
        <is>
          <t>30731/2896</t>
        </is>
      </c>
    </row>
    <row r="19" ht="13.5" customHeight="1" s="9">
      <c r="A19" s="6" t="inlineStr">
        <is>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is>
      </c>
      <c r="B19" s="2" t="inlineStr">
        <is>
          <t>面试报告</t>
        </is>
      </c>
      <c r="C19" t="inlineStr">
        <is>
          <t># 候选人概况与面试岗位
本次面试为公务员结构化面试，共20分钟，回答4道题，由面试官主持、计时员计时，考生逐题作答。四道题分别考察综合分析、组织协调、应急处理和公共服务能力，考生均完成作答，面试结束。
# 面试问答纪要
## 第一题（综合分析能力）
- 题目：以绳子对骏马、风筝、陀螺的不同作用为引，谈谈对做好公务员工作的启示。
- 作答要点：绳子对骏马是鞭策，对风筝是平衡，对陀螺是动力；引用曾子“吾日三省吾身”强调自我反省；单位应形成紧张、活泼、团结的风气，同事间比较能力而非物质；权利和责任需平衡，建立权利清单和责任清单；以陀螺“连轴转”比喻公务员工作，强调责任感和成就感是动力。
## 第二题（组织协调能力）
- 题目：作为市政府办公室工作人员小王，负责对本市AI相关企业进行调研，了解发展状况和服务需求，为出台扶持政策提供依据，如何完成好任务。
- 作答要点：前期补课学习AI知识，学习兄弟城市经验，查阅国务院及省厅指导意见；制定方案分客观（企业发展现状）和主观（政府服务需求）两方面；调研涵盖市场状况、服务需求、管理措施三部分；通过企业对接、调查问卷、座谈会等方式实施；提到共享充电宝信任危机，强调AI发展需及时纠偏。
## 第三题（应急处理能力）
- 题目：作为市级服务标兵小王，现场模拟答复记者关于居民投诉地下排水管道疏通后没过几天又堵上、街道污水严重、质疑标兵名不副实的情况。
- 作答要点：解释管道为上世纪90年代修建，老城区改造难度大，夏季用水高峰问题集中；承认工作失职，请求媒体给予改进机会；表示已联系维修师傅，并将管道硬件问题汇报上级，计划通过城市综合保障工程改善。
## 第四题（公共服务能力）
- 题目：从公共服务角度谈谈处理道路改造和雨污分流工程引发居民不满的社会矛盾思路。
- 作答要点：分析主要矛盾是时间上的需求不满足，次要矛盾是噪音、出行和舆论问题；提出督促施工方加快进度，使用防噪墙、洒水降尘；开辟出行便道、通过交通广播推荐路线、鼓励公交出行并增加班次；以公告形式在网络公开透明表达政府举措。
# 能力评估
| 评估维度 | 推荐评级 | 评估依据（具体事例） |
| --- | --- | --- |
| 专业/技术能力 | 未评 | 考生在第二题中自述为文科生，对AI存在知识盲区，计划利用课余时间补课学习AI知识，并查阅国务院及省厅指导意见，体现主动学习意识。 |
| 项目经验 | 未评 | 考生在第二题中提出调研方案分客观和主观两方面，涵盖市场状况、服务需求、管理措施三部分，并通过企业对接、调查问卷、座谈会等方式实施，体现组织协调经验。 |
| 沟通协作 | 未评 | 考生在第三题中现场模拟答复记者，解释管道问题原因，承认工作失职，并请求媒体给予改进机会，体现沟通与协作意识。 |
| 岗位匹配度 | 未评 | 考生在第四题中从公共服务角度分析主要矛盾和次要矛盾，提出加快工程进度、减少噪音灰尘、改善出行、加强宣传和沟通等措施，体现公共服务意识。 |
| 问题解决能力 | 未评 | 考生在第三题中提出已联系维修师傅，并将管道硬件问题汇报上级，计划通过城市综合保障工程改善，体现问题解决思路。 |
| 思维逻辑性 | 未评 | 考生在第一题中从绳子对骏马、风筝、陀螺的不同作用引申到公务员工作的启示，结构清晰，逻辑连贯。 |
| 应变能力 | 未评 | 考生在第三题中面对记者投诉，现场模拟答复，解释原因并承认失职，体现应变能力。 |
# 综合素质
- **突出亮点**：考生在第三题中主动承认工作失职，并请求媒体给予改进机会，体现责任担当；在第二题中提出通过企业对接、调查问卷、座谈会等多种方式收集信息，方法具体可行。</t>
        </is>
      </c>
      <c r="D19" s="10" t="n">
        <v>41.7</v>
      </c>
      <c r="E19" t="inlineStr">
        <is>
          <t>5808/1546</t>
        </is>
      </c>
    </row>
    <row r="20" ht="13.5" customHeight="1" s="9">
      <c r="A20" s="6" t="inlineStr">
        <is>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is>
      </c>
      <c r="B20" s="2" t="inlineStr">
        <is>
          <t>参观游览</t>
        </is>
      </c>
      <c r="C20" t="inlineStr">
        <is>
          <t># 参观概况
本次参观为故宫博物院一日深度游览，由导游全程讲解，围绕中轴线及东西两路展开，覆盖午门、太和门、太和殿、中和殿、保和殿、乾清门、乾清宫、交泰殿、坤宁宫、储秀宫、慈宁宫、断虹桥、武英殿、文华殿、箭亭、钟表馆、珍宝馆、御花园等主要景点，全程穿插历史典故与建筑特色讲解。游览以午门检票入场为起点，导游依次介绍各殿功能与规制，如午门“明三暗五”结构、太和殿大典用途、乾清宫立储诏书秘密、珍宝馆乾隆养老院布局等；同时沿途标注七处免费盖章点及文创购买规则，并推荐三条不同时长的游览路线。整体过程从早间排队错峰开始，至神武门出宫结束，形成一条完整的故宫保姆级游览攻略。
# 核心看点与讲解
- **午门**：排队检票处，明朝皇帝在此杖打犯错大臣，清朝皇帝在此举行颁朔之礼。门洞呈“明三暗五”结构，正门仅供皇帝行走，皇后大婚时可进一次，殿试前三名（状元、榜眼、探花）可出一次；两侧门走皇亲国戚和文武百官。
- **太和门广场**：眼前有五座金水桥，中间桥供皇帝行走，挨着中间的两座桥供黄金国器行走，文武百官走最边上的桥。
- **太和门**：明朝皇帝在此御门听政（上朝的地方），门口铜狮子是故宫六对铜狮中最大的一对，脚踩寰宇象征权力，不建议站在狮子底下合影。
- **太和殿**：即金銮殿，但并非上朝之地，而是举行盛大典礼的地方，如皇帝登基、皇后册封；文武百官在太和殿广场向皇帝喊“吾皇万岁万岁万万岁”，站位遵循“文东武西”——文官站东边，武官站西边。西边弘义阁是皇帝的银库，东边体仁阁是缎库。
- **中和殿**：举行盛大典礼时皇帝的休息室，文武百官站好后皇帝再前往太和殿。
- **保和殿**：从乾隆五十四年开始作为科举考试殿试的考场；东北角有汉字馆，内有4枚免费印章，可购买《紫禁城100》并现场盖章，购买后不能去其他店铺盖章，据说汉字馆印章数量最多。
- **乾清门**：过了此门即后宫区域，皇帝在此上早朝；东边九卿直房是等级高的大臣等待皇帝召见之处，西边是军机处。门口两尊狮子耳朵耷拉、眉毛遮眼，警示后宫之人不该看的别看、不该听的别听。
- **乾清宫**：皇帝平时睡觉的地方，内有27张龙床，据说是为防止刺客找到皇帝位置；牌匾“正大光明”后藏皇帝立储诏书，皇帝写两份诏书，驾崩后取出对比以防被动手脚。门口有铜鹤与铜龟，旁边有社稷江山金殿，是紫禁城里最小的宫殿，提醒皇帝把江山社稷放在第一位。
- **交泰殿**：内放25块传国玉玺。
- **坤宁宫**：皇后住所，明朝所有皇后都住于此；东北角文创店有5枚免费印章。
- **储秀宫**：慈禧住了20多年的地方，现为慈禧五十大寿时期原状陈列，慈禧儿子在此出生；旁边文创店有3枚免费印章。
- **翊坤宫与永寿宫**：翊坤宫和永寿宫位于储秀宫以南，永寿宫西边是东西六宫中唯一被称为殿的太极殿。
- **慈宁宫与寿康宫**：慈宁宫是康熙给奶奶孝庄皇太后修建的养老院，旁边寿康宫是甄嬛居住之处。
- **冰窖书吧**：内有3枚免费印章，印章造型有批折子的感觉。
- **断虹桥**：网红打卡地，桥上有形态各异的石狮子，最有名的是“武当狮”。
- **武英殿**：后改为陶瓷馆，目前关闭状态，只能在门口看看。
- **文华殿**：位于东边，与西边武英殿对应“文东武西”，参观时未开放，据说现有一个展览。
- **箭亭**：清朝皇帝及其子孙练习骑马射箭的地方，旁边商店可购买文创雪糕。
- **钟表馆**：展示那个年代的钟表造型。
- **珍宝馆**：强烈建议参观，门口有我国现存三座古代九龙壁之一，左边数第三条白龙下方有一块木头，据说是当年烧制琉璃砖瓦弄坏后工匠为保命用木头刷白漆以假乱真。珍宝馆并非单独展厅，院子周围屋子都可参观，游客多，尤其看凤冠需挤进去。此处即宁寿全宫，是乾隆给自己修建的养老院，乾隆退休后未放权仍每天上朝办公；皇极殿1:1复刻乾清宫，宁寿宫对标坤宁宫，养性殿后为乐寿堂，是故宫里唯一能进去参观的皇家寝室，有二龙戏珠设计；再往后是当年慈禧把珍妃丢进去的珍妃井，井口石并非珍妃被丢入之处。珍宝馆出口右手边商店有3枚免费印章。
- **东筒子夹道**：长长的夹道，拍照非常出片。
- **延禧宫与景仁宫**：延禧宫为网红打卡地，旁边景仁宫是当年甄嬛被封为熹妃时住的，珍妃也住过。
- **御花园**：内有钦安殿，供奉真武大帝；紫禁城靠山景山从天上看酷似闭目盘坐的人像，有人说该造型就是钦安殿供奉的真武大帝。
- **神武门**：故宫紫禁城北门，游览终点；出门左手边有两个盖章点——角楼咖啡有2枚免费印章，故宫文创有2枚免费印章。
# 互动与体验
- **排队检票**：导游建议早点过来排队，排队检票处即午门，可借此观察午门外观。
- **午门门洞观察**：从正面看午门有三个门洞，进门后可见变成五个门洞，即“明三暗五”结构；导游提示中间正门仅供皇帝行走，皇后大婚时可进一次，殿试前三名可出一次。
- **太和门铜狮子合影提醒**：门口铜狮子为故宫六对铜狮中最大的一对，造型威武、脚踩寰宇，导游建议不要站在狮子底下合影，因大爪子正好盖在头顶，单独给狮子拍照即可。
- **中和殿与保和殿参观**：中和殿为盛大典礼时皇帝的休息室；保和殿自乾隆五十四年起为殿试考场，导游以“弹幕走一波前途无量”互动祝福观众。
- **汉字馆盖章体验**：保和殿东北角汉字馆有4枚免费印章，可购买《紫禁城100》由工作人员现场盖章；导游形容盖章“真是盖了帽了”，并提及故宫不止一处可买此书，但每家店印章不同，购买后不能去其他店铺盖章，需有所取舍；据说汉字馆印章数量最多，盖完后可选择邮寄到家或自行带走。
- **乾清宫参观提示**：可往殿内看“正大光明”牌匾，牌匾后藏皇帝立储诏书；门口有铜鹤与铜龟，旁边还有紫禁城里最小的宫殿——社稷江山金殿。
- **坤宁宫文创店盖章**：坤宁宫东北角文创店有5枚免费印章，导游提醒别错过。
- **储秀宫参观与盖章**：储秀宫为慈禧居住20多年的地方，现为慈禧五十大寿时期原状陈列；其子在此出生；旁边文创店有3枚免费印章。
- **慈宁宫与寿康宫打卡**：慈宁宫为康熙给奶奶孝庄皇太后修建的养老院，旁边寿康宫为甄嬛居住地，导游提醒喜欢看《甄嬛传》的游客可到此打卡。
- **冰窖书吧盖章**：冰窖书吧内有3枚免费印章，导游称印章造型好，盖章时有批折子的感觉；其本人因已买《紫禁城100》，在此购买了冰嬉图。
- **断虹桥找狮子**：断虹桥上有形态各异的石狮子，最有名的是“捂裆狮”，导游邀请游客找一找它在哪。
- **武英殿与文华殿现状**：武英殿改为陶瓷馆但目前关闭，只能在门口看看；文华殿导游去时未开，据说现有一个展览，感兴趣可去看。
- **箭亭文创雪糕**：箭亭为清朝皇帝及子孙练习骑马射箭之处，旁边商店可买到文创雪糕，导游提问雪糕造型是谁，欢迎在评论区分享。
- **钟表馆参观**：导游带看钟表馆，感叹“不来不知道钟表竟然还有这种造型，真是开了眼了”。
- **九龙壁找木头龙**：珍宝馆门口为我国现存三座古代九龙壁之一，左边数第三条白色龙下边有一块明显不同的琉璃，实为木头刷白漆，导游讲述工匠烧坏琉璃后以假乱真的典故，并提问“当时皇上究竟有没有发现这个小细节”。
- **珍宝馆参观体验**：珍宝馆并非单独展厅，院子周围屋子都值得进去看；导游称每样宝贝都能让人说出感叹词，但游客太多，尤其是看凤冠的“没点技术还真挤不进去”。
- **乐寿堂参观**：乐寿堂为故宫里唯一能进去参观的皇家寝室，可看到二龙戏珠设计，导游提示会联想到恭王府和珅的卧室。
- **珍妃井说明**：珍妃井为当年慈禧丢珍妃之处，导游澄清井口上方现为井口石，珍妃并非从那个小眼进去的。
- **珍宝馆出口商店盖章**：珍宝馆出口右手边商店有3枚免费印章，导游提醒收集印章者别漏了。
- **东筒子夹道拍照**：东筒子夹道拍照非常出片，是很多小姐姐喜欢来的地方。
- **延禧宫与景仁宫打卡**：延禧宫为网红打卡地，旁边景仁宫为甄嬛被封熹妃时所住，珍妃也住过。
- **御花园与钦安殿**：御花园内有钦安殿，供奉真武大帝；导游提及紫禁城靠山景山从天上看酷似闭目盘坐人像，有人说造型就是真武大帝。
- **神武门出口盖章**：神武门出口左手边有两个盖章点，角楼咖啡有2枚免费印章，故宫文创也有2枚免费印章。
- **三条游览路线选择**：导游总结三条路线供游客按自身情况选择——第一条走完视频内所有景点，适合打算待一整天的游客，建议早起排队、进门往里冲以错开旅游团，导游本人一天走了3万步；第二条沿中轴线看完坤宁宫后去景仁宫、延禧宫，再逛钟表馆和珍宝馆，出来直奔御花园，从神武门出，约半天；第三条沿中轴线看完坤宁宫后去储秀宫，出来去御花园，从神武门出，约2小时，最省力。
- **盖章点汇总**：导游标注了七个可免费盖章的位置，供有需要的游客截图保存。
# 收获与建议
## 择时与排队
- **早起错峰**：建议早起排队，一进门就沿中轴线往里冲，可错开大批旅游团人群；等大部队到达时，已在人少时逛完最重要的几个景点。
- **全天体力预期**：走完所有景点的路线一天约走3万步，游览过程中需适当休息和补充水分。
## 路线选择
- **第一条路线（全天）**：走完视频内提到的所有景点，适合打算在故宫待上一整天的游客；进门后沿中轴线往后走，一天约3万步。
- **第二条路线（半天）**：进门沿中轴线往后走，看完坤宁宫后去景仁宫和延禧宫，接着逛钟表馆和珍宝馆，出来直奔御花园，从神武门出，约半天逛完。
- **第三条路线（约2小时）**：进门沿中轴线往后走，看完坤宁宫后去储秀宫，出来去御花园，从神武门出；最省力，适合时间有限、不想走太多路的游客。
## 盖章点汇总
- **保和殿东北角汉字馆**：4枚免费印章；可购买《紫禁城100》并现场盖章，据称此处印章数量最多。
- **坤宁宫东北角文创店**：5枚免费印章。
- **储秀宫文创店**：3枚免费印章。
- **冰窖书吧**：3枚免费印章，印章造型好，盖章时有批折子的感觉。
- **珍宝馆出口商店**：3枚免费印章。
- **神武门出口左手边角楼咖啡**：2枚免费印章。
- **神武门出口故宫文创**：2枚免费印章。
- **《紫禁城100》购买规则**：故宫不止一处可买到，但每家店印章不同；购买后不能去其他店铺盖章，需有所取舍；盖完后可选择邮寄到家或自行携带。
## 注意事项
- **午门正门通行规则**：中间正门仅供皇帝行走；皇后大婚时可进一次，殿试前三名（状元、榜眼、探花）可出一次，旁边两门走皇亲国戚和文武百官。
- **金水桥通行规则**：想体验皇帝待遇走中间桥，皇亲国戚走挨着中间的两座桥，文武百官走最边上的桥。
- **太和门铜狮子**：不建议站在铜狮子下合影，其大爪子正好盖在头顶，建议单独给狮子拍照。
- **太和殿非上朝处**：太和殿是举行盛大典礼的地方（皇帝登基、皇后册封），上朝在太和门（明朝御门听政）和乾清门。
- **珍宝馆参观**：珍宝馆不是单独展厅，院子周围屋子都要进去看；游客多，尤其看凤冠需挤进去。
- **珍妃井**：井口上方现放的是井口石，珍妃并非从那个小眼进去的。
- **陶瓷馆状态**：武英殿改为陶瓷馆，目前关闭，只能在门口看看。
- **文华殿展览**：导游去时未开，据称现有一个展览，感兴趣可前往。
- **断虹桥打卡**：桥上石狮子形态各异，最有名的是“捂裆狮”，可自行寻找。
- **文创雪糕**：箭亭旁商店可买到文创雪糕。
- **东筒子夹道**：拍照非常出片，适合打卡。
- **御花园对比**：有游客认为御花园比不过和珅家的后花园。</t>
        </is>
      </c>
      <c r="D20" s="10" t="n">
        <v>44.8</v>
      </c>
      <c r="E20" t="inlineStr">
        <is>
          <t>4497/4820</t>
        </is>
      </c>
    </row>
    <row r="21" ht="13.5" customHeight="1" s="9">
      <c r="A21" s="6" t="inlineStr">
        <is>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is>
      </c>
      <c r="B21" s="2" t="inlineStr">
        <is>
          <t>调研访谈</t>
        </is>
      </c>
      <c r="C21" t="inlineStr">
        <is>
          <t># 访谈概况
本次访谈以实地走访与对话形式展开，围绕农村与城市留守老人养老问题，访问了村政府/民政局干部、农村留守老人、城市社区社工等对象，旨在了解留守老人养老现状、政策困境及社区服务模式。访谈覆盖三大议题：留守老人生活现状与困境、农村养老政策执行情况、城市社区养老模式探索。整体反馈基调为：留守老人群体规模庞大，存在无人照料、就医困难、孤独寂寞等突出问题；农村养老政策保障水平有限、设施运营经费不足；城市社区志愿者制度与养老服务中心有一定成效，但社工行业面临工资低、人员流失、专业欠缺等困境。
# 核心反馈
## 农村留守老人
- **独居比例高**：据2021社区居家养老现状与未来趋势报告，65.5%的老人子女长期不在身边，无奈独居，仅26.8%的老人与子女同住。
- **无人照料与就医困难**：独居老人不同程度存在无人平护照料、无人慰藉、就医困难等问题，甚至可能独自一人在家中发生意外。
- **孤独寂寞**：黑龙江绥滨一位独居老奶奶因一个人在家太寂寞，报警谎称有人敲门，只为找个人聊聊天。
- **独居去世多日才被发现**：上海一名67岁独居老人在家中去世，多日后家中溢出刺鼻气味才被邻居发现；杭州一小区一名67岁独居老人同样在去世数天后才被发现。
- **老龄化趋势加剧**：发言人2从公安了解到的数据，2021年73万多老人中17.8%左右可能独居，以后可能还会增加；1962年到1965年职工档案出生的人特别多，去年开始退休，过了几年老龄化程度会越来越严重。
- **经济困难**：当地经济不太发达，生病、锻炼等面临经济困难；子女不在身边，一旦生病住院比较麻烦。
- **娱乐方式少**：老人娱乐方式少，只能坐在一起聊聊天、打打牌。
- **养老设施运营经费无后续支持**：之前探索过在农村建养老公共设施，提供日托、休闲娱乐、沟通交友平台，但不是一次性投入，地方财政困难，运营经费后续没有支持。
- **农村养老金偏低**：每个60岁以上农村老年人每月118元，还要提高一点；农村养老金与工人养老金待遇完全一样，但现在的老年人不公平——60年代的人结婚、砍树要交砍伐金，杀猪要交屠宰税。
## 村政府/民政局干部
- **五保户供养标准**：三无人员（无收入来源、无法定赡养人和劳动能力）分集中供养和分散供养；集中供养将生活护理补贴直接发给敬老院护理人员，生活费直接发给敬老院；分散供养五保户每月发475元生活费，另有护理补贴。
- **低保标准分三档**：残疾人一、二级按国家政策纳入最低生活保障，有160、270、380元三个标准，按家庭状况制定，最起码保证最低生活保障。
- **每月上门走访**：靠村支两委、志愿者尽量敲门串门宣传政策、搞卫生；每月开一次党员组织会，上午开会，下午搞活动或清洁大扫除，到孤寡老人、留守老人家里走一圈。
- **上门服务不统一**：所有上门服务的都上门、入户签约的只有一个，有的一个都没有。
- **改善建议**：请专业施工人进行陪伴；倡导在外务工子女多联系；丰富文化生活、增加娱乐方式；希望老年协会专项执行、专门建养老设施，有固定场地，定期有施工人员或宣传板报、健康知识讲座，并给持续运营经费——不只考虑建设，还要考虑后续持续运营。
## 城市社区社工
- **志愿者一对一帮扶**：社区给志愿者划分一对一帮扶，志愿者发现老人住在自家楼下，经过家门口上下楼时天天去看；老人身体不好时天天送菜，定期表彰或志愿者积分兑换，年底可到雷锋超市兑换礼品，让志愿者长期坚持。
- **发掘中年志愿者**：在原有志愿者基础上发掘一批偏中年一点的志愿者；今年做了小手拉大手活动，从儿童青少年入手，拉动家长加入。
- **送春联活动**：这周四准备开展送春联活动，邀请书法老师写对联，让孩子们上门给老人家送对联。
- **中秋做月饼与百家宴**：去年中秋节开展做月饼活动，还做过百家宴，让大家感觉社区就是一个大家庭。
- **2023年目标**：之前每次活动都是社区策划开展，2023年目标是家长自己组织，社区作为协助者。
- **养老服务中心**：每个社区成立养老服务中心，提供理疗类活动、按摩、老年大学、心理咨询等服务。
- **心理问题老人案例**：一位老人心理上出现很大问题，与邻里关系处理不和谐、半夜摔门；社区派志愿者上门，但心理问题不是仅上门能解决的，老人出现抗拒，觉得周围人都是陌生的、没有关心他的人，不接受任何人的建议；经社工日复一日关心照料，现在与邻里关系还算好了，能理解一些、接受一些意见，今天还给社工打来电话说寂寞空虚、得不到人关注。
- **社工工资低、流失严重**：社工行业迅速发展但工资比较低，影响就业率，很多同学做没多久就垮了，不超过一年就转行。
- **社工专业欠缺**：很多社工并不是学社工专业出来的，可能图周末玩玩，专业上很欠缺。
- **项目资金不稳定**：服务需要花钱购买，不一定今年服务了明年又能服务，要看领导能否争取到项目；一年服务成效不明显，资金拨不下来项目就结束，但服务成效不一定达到；整个湖南省这么大，一个街道要花十来万块钱，省里还是拨了钱的。
- **社工专注力分散**：长沙社工机构做的领域比较多，这次做留守儿童、下次做留守老人，专注力不在一个点上。
# 关键洞察与建议
## 农村养老困境与政策缺口
- **数据事实**：据2021社区居家养老现状与未来趋势报告，65.5%的老人子女长期不在身边，仅有26.8%的老人与子女同住；发言人2引述公安数据称2021年73万多老人中约17.8%可能独居，且因1962–1965年出生人口集中退休，预计老龄化程度会进一步加剧——由此可判断独居老人基数庞大且呈上升趋势，养老服务的需求将持续扩大。
- **案例事实**：黑龙江绥滨一位独居老奶奶因独自在家太寂寞而报警称有人敲门，民警上门后老人承认只是想找人聊天；上海一名67岁独居老人去世多日后因家中溢出刺鼻气味才被邻居发现；杭州某小区一名67岁独居老人同样在去世数天后才被发现——这些案例直接支持独居老人存在无人照料、孤独无助及意外发生后无人知晓的高风险。
- **老人自述**：受访老人反映子女外出打工后无人陪伴，日常无人照看，连敲门无人应答的情况也无人察觉；有老人提到村里60多岁老人很多，年轻人大多外出务工——印证留守老人日常照护与情感陪伴的双重缺失。
- **政策事实**：五保户分散供养每月生活费475元，另有护理补贴；低保标准分160、270、380元三档，按家庭状况制定；农村60岁以上老人养老金每月118元，与工人养老金待遇不同——由此可判断现行农村养老保障水平偏低，仅能维持基本生活，难以覆盖医疗、照护等额外支出。
- **设施事实**：发言人2提到此前探索过在农村建设养老公共设施，提供日托、休闲娱乐、沟通交友平台，但地方财政困难，运营经费后续没有支持——说明一次性建设投入后缺乏持续运营资金，设施难以长期发挥作用。
## 受访者提出的建议
- **发言人2建议**：请专业施工人员进行陪伴；倡导在外务工子女多与老人联系；丰富老人文化生活、增加娱乐方式；希望老年协会专项执行、专门建设养老设施，有固定场地，定期开展板报宣传或健康知识讲座，且不仅要考虑建设还要考虑后续持续运营经费，才能更好发挥作用。
- **发言人4做法**：靠村支两委和志愿者上门串门、宣传政策、搞卫生，每月开一次党员组织会后下午开展活动，到孤寡老人、留守老人家中走访——表明基层已在现有资源下尽力开展探访，但覆盖面有限。
## 城市社区模式与社工困境
- **志愿者机制**：社区建立志愿者制度，一对一帮扶，志愿者发现老人住在楼下便天天上门查看，老人身体不好时帮忙送菜；定期表彰志愿者，年底可在雷锋超市用积分兑换礼品——该机制以就近帮扶降低探访成本，并通过激励维持志愿者积极性。
- **代际带动**：今年开展"小手拉大手"活动，从儿童青少年入手拉动家长加入志愿者队伍；本周四准备开展送春联活动，邀请书法老师写对联，由孩子上门送给老人；去年中秋节开展做月饼活动，还做过百家宴——通过活动营造社区大家庭氛围，带动更多家庭参与。
- **2023年目标**：社区目标是让家长自己组织活动，社区作为协助者——从社区主导转向居民自主运营，以减轻社区策划负担并增强可持续性。
- **养老服务中心**：每个社区成立养老服务中心，提供理疗、按摩、老年大学、心理咨询等服务——城市社区已具备较完整的养老服务设施。
- **社工分类与困境**：社区社工由小区出资专门服务一个小区，街道社工由政府出资负责一条街道所有小区；每个街道和乡镇派两名社工驻点，主要服务老人和小孩——但社工工资低，影响就业率，很多同学做不超过一年就转行，专业社工人才流失严重。
- **项目制局限**：社工服务按项目购买，今年做留守儿童、明年可能做留守老人，专注力分散；项目资金拨不下来就结束，但一年服务成效不一定达到——项目制导致服务不连续，难以积累长期成效。
- **专业欠缺**：很多社工并非社工专业出身，专业能力欠缺——影响服务质量与行业长期发展。
- **心理个案**：社工姐姐曾帮助一位心理问题老人，老人与邻里关系不和谐、半夜摔门，志愿者上门时老人抗拒，觉得周围人陌生、没有关心自己的人；经日复一日关心照料，老人与邻里关系好转，能接受意见，还主动打电话说寂寞空虚、得不到关注——说明独居老人心理问题需要长期持续介入，单纯上门探访难以解决深层心理需求。</t>
        </is>
      </c>
      <c r="D21" s="10" t="n">
        <v>45.7</v>
      </c>
      <c r="E21" t="inlineStr">
        <is>
          <t>5309/3910</t>
        </is>
      </c>
    </row>
    <row r="22" ht="13.5" customHeight="1" s="9">
      <c r="A22" s="6" t="inlineStr">
        <is>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is>
      </c>
      <c r="B22" s="2" t="inlineStr">
        <is>
          <t>家校沟通</t>
        </is>
      </c>
      <c r="C22" t="inlineStr">
        <is>
          <t># 沟通概况
班主任林瑞在372班家长会上，面向全体家长介绍了班级基本情况、教师团队、班级存在问题及解决思路、后续计划与措施，并给出家庭教育建议。班级共60人，男生25人、女生35人；教师团队多为老教师和优秀教师，班主任林瑞任教地理学科。会议还包含家长代表张宇波分享家庭教育经验、成立家长委员会（至少三人，自愿报名，已有家长自愿参加），以及保险购买、电子学生证办理、资助政策说明等事项。整体基调为加强家校协同，共同促进学生成长。
# 沟通内容
## 学习表现
- **亮点**：班级整体时间观念和执行能力较强，班风班貌纪律良好，教室地面干净、卫生状况好。
- **亮点**：学生遇到问题会积极向老师请教，班主任林瑞表示学生上课时会主动提问。
- **亮点**：学生关注老师、会主动向老师汇报情况，尊师意识较好。
- **需关注**：少数学生思考能力较差，尤其在自习课上，老师在场时表现安静，老师不在时纪律混乱。
- **需关注**：个别学生书写较差，班主任已与相关家长沟通，建议家长为孩子购买字帖练习书写。
- **需关注**：自习课效率较低，班主任计划加强班委培训，并给予学生10分钟讨论时间，允许不懂的学生离开座位向老师请教。
## 行为表现
- **亮点**：班级整体班风纪律良好，卫生状况佳。
- **需关注**：少数学生周末沉迷玩手机游戏，导致返校后精神疲惫、懒散，约有两三个学生存在手机依赖问题。
- **需关注**：发现少数男生有网瘾，有学生周末向游戏充值，金额达400元。
- **需关注**：有学生在周六晚上外出过生日，喝酒后回校一身酒气，还抽烟、玩手机。
- **需关注**：存在早恋现象，班主任建议家长关注孩子的QQ、抖音、快手等社交账号，留意是否有异常动态。
- **需关注**：有学生带镜子到校，约10人左右，班主任已要求全部收掉。
- **需关注**：有学生抽屉里发现小说，班主任建议家长管控孩子阅读内容。
## 社交与心理表现
- **需关注**：学生处于初中阶段，生理和心理持续变化，是人生中不稳定的时期，需要家长和老师共同引导。
- **需关注**：班主任提醒家长关注学生心理健康，发现异常应及时进行心理辅导。
- **需关注**：班主任在班级调查中发现，只有少数学生知道父母的生日，反映出部分学生对家庭关怀意识不足，班主任已就此进行感恩教育。
# 家长反馈
- **家长代表分享**：张宇波（家长代表）分享家庭教育经验，强调关注孩子身体健康和心理健康，教育孩子先做人、避免不良风气，家长要有平常心、尊重孩子、多倾听多交流，并配合学校制度与老师合作。
- **家委会成立**：班主任提议成立家长委员会，至少需要三人，自愿报名，已有家长自愿参加。
- **保险购买**：班主任建议家长为孩子购买保险，约310多元，可自行购买，最后会统计购买情况。
- **电子学生证**：班主任说明电子学生证套餐78元（移动套餐），方便联系，能办的就办。
- **资助政策**：班主任说明高中补助打在医保卡上、初中打在卡上，提醒家长注意补助使用，避免学生乱花。
- **费用管理**：班主任强调不在微信群收取任何费用，由学生交给生活委员，提醒家长防范诈骗。
- **手机管理**：班主任要求家长配合管理手机，统一上交存放，家长可不定时打电话检查，并提醒家长处理多余手机。
- **安全教育**：班主任提醒家长关注交通安全（未满16周岁骑电动车危险）、防诈骗、防溺水、防校园欺凌。
- **心理健康**：班主任建议家长关注学生心理健康，发现异常及时进行心理辅导。
- **家庭教育建议**：班主任建议家长避免过分关注、放任不管、期望过高等误区，创造和睦家庭气氛，多鼓励少批评。
# 共识与配合事项
## 费用与收费
- [ ] **家长**：确认水费险收费标准为每两周2元/人，若实际用水超出预算再另行说明
- [ ] **家长**：确认书费预交11000元尚未结算，待最终核算后多退少补
- [ ] **家长**：未购买书箱的同学，班主任将退还相应费用
- [ ] **家长**：少数同学存在约100元左右的无效费用（约70元），班主任后续会逐项公布明细
- [ ] **家长**：班主任不会在微信群内收取任何费用，所有费用由学生直接交给生活委员，请勿相信群内转账要求
- [ ] **家长**：注意防范冒充班主任头像进行收费的诈骗行为，涉及转账务必电话核实
## 保险
- [ ] **家长**：建议为学生购买保险，费用约310多元，可自行选择购买渠道（学校、保险公司、线上平台均可）
- [ ] **家长**：购买后配合班主任统计是否已购买，确保每名学生都有保障
## 电子学生证
- [ ] **家长**：电子学生证套餐为78元/月（移动套餐），方便学生请假时联系家长
- [ ] **家长**：目前班级仅有两个可用坐席，第三个坐席将于9月20几号到期，到期后需办理新号码
- [ ] **班主任**：将把新号码发到家长群，请家长重新登记补充
- [ ] **家长**：能办理电子学生证的尽量办理，方便家校联系；无法办理的请说明情况
## 资助政策
- [ ] **家长**：关注家长群内发布的资助政策文件，高中阶段所有补助将打在学生医保卡上（与初中打在卡上不同）
- [ ] **家长**：每次补助到账后与孩子确认金额及用途，防止学生将补助用于购买手机、过生日、喝酒等非学习消费
- [ ] **家长**：需要申请补助的学生，学校会协助办理相关手续
## 手机管理
- [ ] **家长**：配合学校手机管理制度，学生手机统一上交存放，每个手机箱贴好学生姓名
- [ ] **家长**：家中多余的手机（如家长名下办理的副卡手机）请处理掉或收回，避免学生藏匿使用
- [ ] **家长**：周一到周五不定时拨打学生电话，若电话能打通但无人接听，说明学生可能未按时上交手机
- [ ] **家长**：检查学生手机内容，关注是否存在网瘾、观看不健康内容、早恋等情况
- [ ] **家长**：关注学生QQ、抖音、快手等社交账号，留意是否被屏蔽、是否有多个账号、是否发布不当内容
- [ ] **家长**：发现学生有网瘾倾向及时干预，避免沉迷游戏
## 住校纪律
- [ ] **家长**：提醒住校学生遵守宿舍纪律，周六住校同样须遵守作息要求（2:10回寝室休息）
- [ ] **家长**：提醒学生不得在宿舍内吸烟、喝酒，外出过生日须提前报备
## 安全事项
- [ ] **家长**：提醒学生注意交通安全，未满16周岁不得骑电动车，尤其禁止载人（载2-3人非常危险）；如确需骑行须单人骑行
- [ ] **家长**：提醒学生注意运动安全、饮食安全
- [ ] **家长**：提醒学生防范诈骗、防溺水，不得私自下河游泳
- [ ] **家长**：关注防校园欺凌，学生遇到问题第一时间联系班主任处理
- [ ] **班主任**：学生遇到矛盾或欺凌事件，第一时间介入处理（举例：曾有一名学生11点反映矛盾，班主任12点即约谈至凌晨2点）
## 学习与行为管理
- [ ] **家长**：查看学生手册，书写较差的学生请购买字帖练习（文具店有售）
- [ ] **班主任**：加强班委培训，提升自习课管理效率；自习课给予学生10分钟讨论时间，不懂的问题可离开座位请教
- [ ] **班主任**：继续每天加强思想教育工作
- [ ] **班主任**：制定详细班规，严格请假制度，该扣分扣分、该写检讨写检讨、该罚站罚站
- [ ] **班主任**：定期与家长沟通学生表现，及时反馈问题
- [ ] **家长**：关注学生心理健康，发现异常及时进行心理辅导
- [ ] **家长**：提醒学生合理安排饮食、注意补充营养
- [ ] **家长**：鼓励学生不懂就问，主动向老师请教问题
- [ ] **家长**：正确看待成绩，不与其他人盲目比较，帮助学生分析进步与下滑原因
- [ ] **家长**：避免教育误区——不过分关注、不放任不管、不期望过高、不给过多零花钱
- [ ] **家长**：控制生活费额度，建议每周不超过150元（早餐3-4元、午餐8元、晚餐8元，约21-24元/天）
- [ ] **家长**：多鼓励少批评，给孩子制定容易达到的小目标，激发潜能
- [ ] **家长**：创造和睦、祥和、稳定的家庭气氛，不在孩子面前长时间玩手机
- [ ] **家长**：不在家里聚众打麻将、点外卖，给孩子安静学习环境
- [ ] **家长**：多抽时间了解孩子在校表现，关注孩子心理动态
## 家委会
- [ ] **家长**：家委会至少需要3人，自愿报名，已有家长自愿参加
- [ ] **班主任**：家委会成立后，重要事项经班主任与家长共同探讨决定
## 其他
- [ ] **家长**：记住班级号372班、班主任姓名（林瑞），便于家校沟通
- [ ] **家长**：各科老师电话将发到家长群，有需要可自行联系
- [ ] **家长**：下午3:20-3:25可前往办理相关业务（保险、电子学生证等），有一节课时间
- [ ] **家长**：培训期间不得拍照发朋友圈或社交媒体（教官着装不允许拍照），请理解配合</t>
        </is>
      </c>
      <c r="D22" s="10" t="n">
        <v>61.1</v>
      </c>
      <c r="E22" t="inlineStr">
        <is>
          <t>17334/3840</t>
        </is>
      </c>
    </row>
    <row r="23" ht="13.5" customHeight="1" s="9">
      <c r="A23" s="6" t="inlineStr">
        <is>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is>
      </c>
      <c r="B23" s="2" t="inlineStr">
        <is>
          <t>团队例会</t>
        </is>
      </c>
      <c r="C23" t="inlineStr">
        <is>
          <t># 例会概况
10月28日召开自愿级周会，主题为总结工作，会议资料包括工作报告、这班看法、这班型社区介绍，目标是初步统一成员意见，统一对社区的认识。会上围绕工作方向与任务安排、社区介绍修改、任务分配与执行、待遇与休假等议题展开讨论：工作方向可能偏了、任务工作量需考虑等问题尚待定；社区介绍修改已明确将“我们是谁”提到最前面；任务分配中修订303等已接近完成，下周安排去洛阳；待遇与休假方案已同步。整体态势上，部分任务推进顺利，但工作方向与工作量问题构成当前主要卡点。会议结论为：修改学习介绍、下周安排去洛阳，下一步将邀请同事加入共同制作解决方案。目前有四个任务，包括课程开发、组建执法队伍等，下月主要任务是组建执法队伍，任务具体需招聘20多位师傅。
# 工作进展
## 工作进展
- **会议性质与目标**：10月28日召开自愿级周会，主题为总结工作；会议资料包括工作报告、这班看法、这班型社区介绍；目标是初步统一成员意见，统一对社区的认识。
- **工作方向评估**：提出工作方向可能偏了，需要考虑工作量；需组建教育团队，确定路线并修订纲领章程。
- **课程开发任务**：目前有四个任务之一，需招聘20多位师傅组建教育班队；第一步确定路线、修订纲领章程，任务开始后安排人员运行。
- **组建执法队伍**：下月主要任务，为当前最重要任务；需具备政府资源，社区环境建设同步推进。
- **修订303任务**：已修订了一下，应该已接近完成；需自行查看一遍后打勾确认。
- **学习介绍修改**：已将“我们是谁”提到最上面；讨论封面和镜头衔接问题，根据修改参数调整。
- **任务分配**：四个任务直接讲进，需说明为什么做这几件事；任务占比最大的是招聘20多位师傅。
- **待遇与休假**：上班5000元，额外有奖励和提成；休假为周五半天加周末两天。
- **下周安排**：安排去洛阳，需排在第二项；下一步邀请同事加入，共同制作解决方案。
- **账单与发放**：有两个账单未发送，全场活动的优美和棒棒糖待遇尚未发放；发放完才能入职，薪资待遇月会上再发。
- **仪表盘趋势**：今日余额比上次多，因两个账单未发送导致统计差异。
- **会议纲要**：讨论是否还需修改，需统一思想讨论。
- **抖音任务**：需可视化学习方案和工具，根据数据配热情况调整；每月需充值赞助。
- **企业合规计划**：根据企业实际情况制定企业合规计划。
- **平台维护**：讨论怎样维护好平台，有线上空间、微信、网站等渠道。
# 协作需求
- **邀请同事加入**：发言人1提出下一步邀请同事加入，共同制作解决方案，会后将看有谁愿意参与；需相关成员配合确认参与意向。
- **学习介绍修改**：发言人1已完成学习介绍修改（将“我们是谁”提到最上面），下一步需相关成员配合审阅并确认封面与镜头衔接的修改效果。
- **任务分配与执行**：发言人1提出任务分配需安排，涉及修订303等任务已接近完成，需相关成员配合查看并确认修订结果。
- **下周去洛阳安排**：发言人1安排下周去洛阳，需相关成员配合确认行程及任务优先级排序。
- **会议纲要修改**：发言人1询问会议纲要是否还需修改，需相关成员配合反馈意见。
- **待遇与休假确认**：发言人1提及待遇为上班5000元、额外奖励和提成，休假为周五半天加周末两天，需相关成员配合确认执行细节。</t>
        </is>
      </c>
      <c r="D23" s="10" t="n">
        <v>26.8</v>
      </c>
      <c r="E23" t="inlineStr">
        <is>
          <t>4999/1417</t>
        </is>
      </c>
    </row>
    <row r="24" ht="13.5" customHeight="1" s="9">
      <c r="A24" s="6" t="inlineStr">
        <is>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is>
      </c>
      <c r="B24" s="2" t="inlineStr">
        <is>
          <t>就医咨询</t>
        </is>
      </c>
      <c r="C24" t="inlineStr">
        <is>
          <t># 就诊概况
48岁男性患者张春和，在成都轻工研究所从事科研工作，于消化内科门诊就诊。主诉上腹烧灼痛4年、近3个月加重，伴两次黑便及近期反酸呕吐。医生初步判断需排查消化道出血及幽门梗阻可能，建议留大便查潜血并预约胃镜。
# 病史与背景
- **现病史**：上腹心窝处烧灼感疼痛4年，每年春季多发，近3个月加重；进食冷、硬、辛辣食物或工作紧张劳累时诱发，白天发作，无夜间痛醒，疼痛可忍受，有完全不痛的时候。
- **黑便史**：一年前及三个月前各出现一次黑便，每次持续约一个月，均住院数日好转；近3个月大便正常，无黑便。
- **反酸呕吐**：近2个月出现数次呕吐，呕吐物为酸水，含早晨或中午食物，有时含隔夜食物，呕吐后舒适。
- **既往史**：16岁患甲肝，在三医院住院一个月，出院及此后体检肝功能均正常；小时候因扁桃体炎在儿童医院就诊。
- **过敏史**：小时候因扁桃体炎服用磺胺药后左手起红疹，持续半个月，诊断为药物过敏，此后禁用磺胺药。
- **家族史**：父亲76岁有低血压，母亲75岁有冠心病，弟弟身体健康；婶婶（叔叔的爱人）患胃癌，患者担心自己是否也会得胃癌。
- **个人史**：吸烟，以前每天一包，现限制在10支以内，计划逐步戒烟；偶尔饮酒，平时不喝，应酬时少量；每天喝两杯淡茶；双眼近视400度，偶尔口腔溃疡。
- **近期用药**：近期服用斯达舒，最初一天两次每次一颗有效，后效果不佳，现加至每天四五次仍效果不好；还服用过奥美拉唑（武汉药厂产，国产）和阿莫西林，以及医务室自配的胃炎合剂，服药好转后停药则症状反复。
# 诊断与检查结果
医生初步判断患者上腹烧灼痛与饮食及劳累相关，结合两次黑便史需排查消化道出血，反酸呕吐物含隔夜食物提示可能存在幽门梗阻。尚未进行胃镜及大便潜血检查，待检查后由上级张医生（指导教授）进一步判断。
# 治疗方案与医嘱
- **检查安排**：留大便做潜血检查，以排查出血；预约胃镜，因患者爱人后天可请假陪同，改至后天进行。
- **生活方式**：建议戒烟、尽量少喝酒，因吸烟饮酒对胃肠道疾病有影响；注意休息，避免熬夜劳累。
- **复诊与陪同**：胃镜后天进行，由爱人陪同；医生将向上级张医生汇报病情后，再商定下一步处理意见。
| 药品名称 | 用法用量 | 注意事项 |
| --- | --- | --- |
| 斯达舒 | 最初一天两次，每次一颗；现加至每天四五次 | 效果逐渐不佳 |
| 奥美拉唑 | — | 武汉药厂产，国产 |
| 阿莫西林 | — | — |
| 胃炎合剂 | — | 医务室自配 |
# 复诊与预警信号
胃镜预约在后天进行，由爱人陪同。⚠️ 若再次出现黑便或呕吐物带血，需立即就医。</t>
        </is>
      </c>
      <c r="D24" s="10" t="n">
        <v>44.1</v>
      </c>
      <c r="E24" t="inlineStr">
        <is>
          <t>10297/1139</t>
        </is>
      </c>
    </row>
    <row r="25" ht="13.5" customHeight="1" s="9">
      <c r="A25" s="6" t="inlineStr">
        <is>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is>
      </c>
      <c r="B25" s="2" t="inlineStr">
        <is>
          <t>专题讲座</t>
        </is>
      </c>
      <c r="C25" t="inlineStr">
        <is>
          <t># 讲座概况
肖楠总在本次专项讨论会上向投资者汇报过去一年的研究布局、研究成果及投资框架的反思与更新。他首先阐述知识与信息的鸿沟，强调投资者应关注可研究的问题，并介绍市场上两大投资流派（巴菲特代表的务实派与索罗斯代表的务虚派），自认处于中间偏左位置。肖楠明确反对市场上流行的“抱团”和“均值回归”两种观点，认为“抱团”定义不本质，基金经理之间是竞争关系，主观上不可能抱团；均值回归是局部正确，长期看收益率是幂律分布而非正态分布，美国股市200年价值增量由4%的公司贡献。过去一年研究资源投入四个方向：互联网、财富管理行业、新消费和高端制造。投资框架反思共五点：商业模式分类不完备、从商增角度理解商业模式更本质、企业家精神无法定价但长期视角下可能带来超额收益、因终局判断悲观错过中期10倍投资机会、长期变量（如国运、文化背景）可能解释相当部分收益率来源。另有两项补充反思：深度价值可能长期无效（打问号）、小企业X factor驱动企业增长且不被线性描述的因子。客户问答环节，肖楠就终局判断与中期机会、伟大公司判断标准、全市场基金选股逻辑、血制品行业、农林牧渔行业、商增分析、增长曲线、财富管理行业、企业家精神等问题进行回答。
# 核心观点与论证
## 知识与信息的鸿沟
- **核心观点**：投资者关心的"What happen next"类问题，得到的答案只是信息而非知识，知识与信息之间存在巨大鸿沟。
- **论据**：肖楠看好某板块或个股，对他而言是基于相关知识（`knowledge`），对投资者而言得到的仅是一条"肖楠看好某某"的信息。
- **论据**：肖楠今天的观点明天可能因新知识增加而修正，但投资者可能需要等一年甚至更长时间才知道观点已变。
## 问题分类框架
- **核心观点**：肖楠将问题分为重要不重要、可研究以及难以研究四类，只关心可研究的问题。
- **论据**：肖楠关心标的基本面是否发生变化、投资逻辑有没有更新、对标的的认知是否更深入领先。
- **论据**：作为基金经理，肖楠最关心自己的投资框架有无值得修正和更改的地方，这些是可被研究的。
- **论据**：该表仅针对肖楠个人，例如基于宏观变量做资产配置的人，美联储利率变化对市场的影响就是既重要又可研究的问题。
## 两大投资流派
- **核心观点**：市场上基金经理的理念和方法大致处于巴菲特代表的极端务实派与索罗斯代表的极端务虚派两个极端之间。
- **论据**：巴菲特一派认为股票是企业所有权的一部分，价值来源是企业价值即未来现金流，短期波动是随机的、不值得研究，应买入长期持有直到投资逻辑变化。
- **论据**：索罗斯一派认为股票是筹码，价值来源于其他交易者对筹码的看法，交易代表信息，应研究交易者基于基本面的行为，通过交易与市场对话、试错并获利。
- **论据**：大部分基金经理包括肖楠处于两个极端中间某一位置，肖楠自认偏巴菲特一侧。
- **论据**：务实还是务虚没有高下之分，做好的都是大师，做不好都是东施效颦，理念没有好坏。
## 反对"抱团"说法
- **核心观点**：肖楠明确反对"抱团"说法，认为该定义不本质，会导致研究误入歧途。
- **论据**：定义不本质的比喻——若给一叫太阳就出来的动物起名"光明使者"，按此思路理解会误以为宰了它太阳就不出来。
- **论据**：基金经理之间是竞争关系，主观上不可能抱团，不存在打电话给嘉实基金王经理商量一起买股票的可能。
- **论据**：同一家基金公司研究员推荐股票获广泛认可、大家买入，若定义为抱团则荒谬，否则需抽取三位幸运基金经理才能买，不可能。
- **论据**：抱团是截面数据，忽略时间维度；肖楠8年前、5年前买入的标的突然被蜂拥买入，拉长时间看A股和海外股市都有此现象，如当年的五朵金花、眉飞色舞、长牛的医药消费。
## 反对"均值回归"
- **核心观点**：肖楠明确反对"均值回归"思想，认为它是特别不本质的局部正确。
- **论据**：短期看K线图确实均值回归，涨多了跌、死叉金叉，但拉长看无法解释长线牛股10年涨10倍、20倍、50倍、100倍的现象。
- **论据**：某商学院老师在海螺水泥上做波段，过去10年赚约两三倍，2016或2017年卖出后等回调，两年内股价涨了五六倍，再也没能买回来。
- **论据**：均值回归90%的时间都正确，但10%的错误代价惨重。
- **论据**：收益率是幂律分布而非正态分布，美国股市200年价值增量由4%的公司贡献，挖掉这4%的公司美国股市200年来没有涨。
## 四大研究布局
- **核心观点**：过去一年研究资源投入四个方向：互联网、财富管理行业、新消费和高端制造。
- **论据**：互联网——全球能把互联网做成巨大产业、诞生巨大公司的只有中国和美国；中国短短十几年已迭代三代企业：第一代基于流量（门户网站、搜索引擎）、第二代基于运营管理（阿里、淘宝）、第三代基于算法（字节、拼多多）。
- **论据**：互联网领域未来仍会出特别大的机会，港股通开通后可投资以前A股未上市的互联网公司。
- **论据**：财富管理——中国从一穷二白进入小康，人均收入中位数向前挪5%或10%，因巨大基数效应和收入分布密度效应会有巨额剩余财富有待专业机构管理，行业潜在空间远超想象。
- **论据**：新消费——新一代消费公司从CEO的想法理念到基层执行人员、生产方式、营销方式，与匮乏年代出来的企业完全不一样，不是产品够新而是组织架构和经营理念完全不同。
- **论据**：高端制造——中国是全球几乎唯一拥有全产业链的国家，微观深入很多制造业细分领域会发现中国已占据主导地位，与10年前"10亿双袜子换台飞机"的理解完全不同；欧美日企业可得的市场份额已是中国企业碗里的肉。
## 新消费领域研究成果
- **核心观点**：新消费领域看起来产品差不多的公司，收入利润体量差距巨大，产品差异在三年五年十年维度被放大。
- **论据**：从外人角度看两家公司卖笔或电饭锅看起来差不多，但深入研究发现产品经理团队或CEO眼中自家产品与竞争对手产品存在巨大鸿沟。
- **论据**：传统消费领域龙头赚钱、龙二龙三也赚钱，但新消费领域同样巨大的行业里两家公司，一家赚很多钱、另一家完全不挣钱也不知道怎么挣钱。
- **论据**：从商增角度理解企业商业模式，成长企业商增速度差异巨大，商增过快导致企业走向失败，商增是理解商业模式的重要角度。
## 投资框架反思一：商业模式分类不完备
- **核心观点**：过去将生意分为坐地收钱、苦尽甘来、燃烧自己照亮别人三类，但该框架存在不完备性。
- **论据**：世界上没有一劳永逸的坐地收钱生意，极端稀缺，哪怕爱马仕也会因一个设计师的好坏影响未来五年十年销售。
- **论据**：长期看所有企业都要死去，不能抱着买千秋万代企业的想法，单一维度出发会错失很多机会。
## 投资框架反思二：商增角度更本质
- **核心观点**：从商增角度理解商业模式某种程度上更加本质。
- **论据**：一些企业从诞生到收入和利润涨100倍，企业结构与诞生之时没有特别大区别，商没有怎么增加就轻易放大100倍。
- **论据**：另一些企业扩张过程中商增剧烈增加，商增到一定程度后柯斯定理告诉我们企业已没有存在必要。
- **论据**：过去大量讨论企业在成长过程中靠什么吸收熵增，这是第二点心得。
## 投资框架反思三：企业家精神定价问题
- **核心观点**：与张坤争论企业家精神或企业家值不值得定价，无法定价但长期视角下可能带来超额收益。
- **论据**：企业如日中天时说企业家优秀、估值给50倍，企业犯错误时说企业家不行，导致无法给企业家定价。
- **论据**：过去特别希望买谁做都一样的生意（如茅台，领导人抓了一批又一批不影响销售），但反过来想，没有这样的公司是否就不投了。
- **论据**：即使无法给企业家定价，企业发展中一些要素可能在长期视角下带来超额收益，尤其在困难时期，这弥补了三种商业模式分类忽略的因素。
## 投资框架反思四：终局判断与中期机会
- **核心观点**：因终局判断悲观错过中期10倍投资机会，应坚持终局判断同时争取研究格局演进的阶段性特征。
- **论据**：过去投研中因判断企业终局不太好或看不清楚，放弃了一些中期投资机会，甚至错过10倍投资机会。
- **论据**：具体案例——某企业产品跨代领先竞争对手，当时判断领先不能长期保持、行业格局会变差、ROE剧烈下降，判断正确但企业后来涨了十几倍，过程完全错过。
- **论据**：可通过紧密跟踪认知快速迭代、识别里程碑式事件来提高胜率，在中期时间内获得好的投资回报率。
## 投资框架反思五：长期变量
- **核心观点**：一些特别长期的变量解释了相当一部分收益率来源，需保持谦卑并纳入研究。
- **论据**：为什么日本、德国、越南没有出巴菲特、索罗斯这样的投资大师，美国有；中国股市20多年诞生一批长线收益好的基金经理，放到台湾、日本、韩国不一定有同样收益率。
- **论据**：西方世界过去对中国判断中没人预料到中国和平稳定高速发展30多年、40年，这是一个隐藏的巨大变量，称作国运有点不对但也有一点对。
- **论据**：过去买茅台赚钱的人写的回忆录中列出的逻辑（便宜、产品好、商业模式好）加在一起无法解释茅台过去十年20年如此巨大的涨幅，可能有更大的变量（宏观经济背景、文化背景、品牌背景）在起作用。
- **论据**：LV、爱马仕等奢侈品牌讲的故事是祖上给皇上当马夫、给娘娘当皮匠，但给的是英国、法国这些老牌资本主义国家的皇上娘娘，因为他们的军舰当年横扫全世界。
- **论据**：20年前天涯论坛帖子问中国GDP何时超过日本被群嘲，今天大家在算哪一年GDP超过美国。
- **论据**：30年前洋酒刚进入中国时土豪兑雪碧喝，因为难喝但文化强势、为显示高档；若中国国力强盛到航母在人家十二海里外军事演习，就能讲"纯粮固态发酵的酒才是好酒"的故事。
- **论据**：未来研究将把特别隐性的长期变量（十年维度起作用）纳入研究。
## 深度价值可能长期无效
- **核心观点**：深度价值可能长期无效（打问号，未得结论）。
- **论据**：深度价值只是一个结果，导致深度价值的原因不变，深度价值最好的结果也就是不输。
- **论据**：过去投了一些认为是深度价值的标的，结果非常差，产生很大启发和刺激。
## 小企业X factor
- **核心观点**：驱动企业增长且不被线性描述的因子（X factor），经典模型无法定价但必须承认存在。
- **论据**：做DCF、DDM都是线性假设，无非增长率是12、13、14还是15、16、17的区别，但拉长10年视角企业的发展是一条非常漂亮的曲线。
- **论据**：某理科背景的知名创业家讲企业的发展类似于用直线逼近曲线，短期看线性增长，长期看是曲线。
- **论据**：经典投资模型中没有变量隐含对企业发展曲率的估计，但现实中大量行业、企业做着同样的事情、生产差不多的产品，差异巨大，原因就是曲率因素在起作用。
- **论据**：今年遇到的现象——一些企业挺好但估值贵，一些企业便宜但基本面很烂，怎么投是挣扎中的问题。
- **论据**：今天涨得很大的企业，5年前10年前大家说产品渗透率已很高、利润率已很高，但到今天看当年说的都没实现，企业长出第二、第三生长曲线，这就是有X factor。
- **论据**：经常强调的超额认知就来自于这些方面。
# 金句总结
&gt; 知识和信息之间是有着巨大的鸿沟的。
- 讲到投资者关心的"What happen next"问题：主讲人认为听众得到的只是"肖楠看好某某"的信息，而非支撑判断的知识。
&gt; 务实还是务虚，其实没有高下之分的。做好的都是大师，做不好都是东施效颦。
- 对比巴菲特代表的务实派与索罗斯代表的务虚派时，强调投资理念本身无好坏，执行结果才分高下。
&gt; 均值回归这个事情，90%的时间都正确，那10%的错误依然让你代价惨重。
- 反对均值回归观点时，以某商学院老师在海螺水泥上做波段、卖出后两年股价涨五六倍再也买不回来的案例佐证。
&gt; 收益率是幂律分布的，不是正态分布的。
- 论证均值回归不成立时提出，并引用美国股市200年价值增量由4%公司贡献的数据。
&gt; 深度价值它只是一个结果，是导致这种深度价值的原因不变，那么深度价值它最好的得到的结果也就是不输了。
- 反思深度价值投资方式为何长期不成功时提出，并承认自己投深度价值标的结果非常差。
&gt; 驱动企业增长且不被线性描述的因子，我们即使是没有办法去有效定价，我们也一定要承认它的存在。
- 提出小企业X factor概念时强调，经典投资模型无法定价曲率因素，但长期起作用的正是这些因素。
&gt; 我们一定要把底线的风险搞好。我们一致同意的就是这个东西它不可被定价。
- 回答如何把握企业家精神时强调，避免因对企业家认可而犯投资错误，企业家精神不可定价、须谨慎使用。
&gt; 我们有一些深度的、长期的变量可能是我们所忽略的。
- 反思长期变量对收益率来源的解释力时提出，并以中国GDP超过日本、白酒出海等话题说明国运等隐性变量的作用。
# Q&amp;A 环节
**主持人**：有客户提问，您刚刚讲到在重视终局结果的同时，也更加关注格局演进过程中的阶段性特征和中期投资机会，能否再详细描述一下？
**肖楠**：这个想法最早来自我们过去错过的一些特别大的机会。我们当时判断某些行业的终局可能不大行，而最打脸的是我们明明判断对了，却在两三年的时间里深深错过了十几倍的涨幅。复盘时发现，这类企业有一个重要特征是我们当时忽略的：比如某一代产品当时领先，后来确确实实如我们所料被人追上，但这个企业却做出了第二增长曲线，而且第二增长曲线的壁垒比第一增长曲线还要深、还要厚。所以我们在后来的投资里，开始接受终局可能没有那么强、不会像一劳永逸躺着收钱那么强的判断，在这个前提下依然做出好的投资，希望未来不要再错过类似机会。具体标的我不太好说，但确实有一两个标的给我们带来极大的刺激。
**主持人**：您在年报中也讲到坚定持有优秀乃至伟大的公司，请问对优秀乃至伟大公司的判断标准，有没有一些具体的财务指标？
**肖楠**：伟大公司是在财务指标里面看不出来的。我举一个例子，不能说具体企业：A、B两家公司同属一个大行业但不同细分子行业，投资逻辑很像，都是在自己领域把成本做到行业最低，市场份额稳固且不断提高，精细化管理能力和对产品的理解都非常好。但A公司和B公司有一点不一样——B公司不怎么研发，靠管理精益求精做到成本极低，壁垒在于业内络绎不绝来学习但学不会；A公司每年有非常高额的研发支出，关键技术指标以非常强的速度迭代，很多研发项目是特别前沿的方向，这些方向的技术目前掌握在德国人和日本人手里。有意思的是这两家都是国企，A公司在发展初期狠狠被德国人、日本人坑过，从董事长到技术骨干积攒了非常强烈的产业报国、技术报国的理想，从跟着日本人学、跟着德国人学，到越做越强、超越对手、对手跑过来跟他们学，再到做全产业链布局。如果你把这些东西全部写下来，就是一个产业上史诗般壮丽的东西，这种企业就是堪称伟大的企业。
**主持人**：我们是全市场基金，能否介绍一下这个产品的投资逻辑？对于消费以外的行业选股，主要基于什么逻辑？
**肖楠**：我们很难分消费内消费外，选股逻辑都是一样的，都是以前讲过的不可能三角、企业三阶段、三种商业模式。只不过消费行业基金只许买消费，不能买别的，所以肯定在消费行业里面选。两者的选股逻辑完全一样，没有什么区别。
**主持人**：您是怎么看待血制品行业的竞争壁垒呢？
**肖楠**：血制品行业我们初步研究过，觉得壁垒不是特别强，不是我们想要的那种强壁垒。这个就不展开了，因为我们的研究不是特别深入。我们也找了一堆强壁垒的公司，相比之下买了另外的一些。
**主持人**：在管理行业能否再具体讲一下呢？
**肖楠**：就血制品这个行业，我们研究的不是特别多。我们还有一些基金经理买了血制品行业，我觉得可以请教他们，我们不希望有一些特别冲突的观点。
**主持人**：农林牧渔行业有所提升，请问您对这个行业的观点能讲一下吗？
**肖楠**：这行业太大了。农林牧渔行业的提升是因为牧原股份，就那一只股票。我们不能在公开场合讲具体股票的投资逻辑。农林牧渔行业的提升不是因为我先看好这个行业再去选牧原股份，就是牧原股份的比例提高了，就这么简单。
**主持人**：您能再具体讲一下生意模式里边商增和商减的分析吗？
**肖楠**：用直白的理论讲，你们都是企业里的打工人，可以深切感受到：企业从小到大，部门越来越多，以前三五个部门现在十几个，中层干部一大堆，传达效率变低，内部腐败开始出现。企业为了解决这些问题又设巡视检查部门，部门里的人要加工资提级别，这么多部门老总今年提哪个明年提哪个，这些都是商增。企业扩张多一项业务就要多一个副总裁、多很多部门。有些生意收入10个亿和100个亿时没多几个部门，有些企业不需要设那么多高管就把生意做成了。从商增角度讲，有些企业是商增把自己拖死的。比如有些行业剩两家大厂，一家效率特别高，另一家山头林立、互相推诿、腐败丛生，因为后者从一开始就没考虑好企业大了以后商增怎么处理。而另一家企业基本是高度中央集权，CEO有一个非常强大的情报部门，知道每一件重要事情细入到基层是怎么回事。我特别建议大家去读一读党史，看看这个国家怎么从国民革命时期、抗战时期一直走到现在，组织到今天还能保证这样的活力，这是非常厉害的事情。有些国家也是被商增拖死的，一条铁路修几十年这种事在很多国家都会发生。
**主持人**：您讲到伟大企业的增长曲线，能否对这个曲线的情况再具体讲一下？
**肖楠**：有些企业你每年看都是线性增长，今年增长20、明年15、后年17.5，但站到10年周期看，跟竞争对手之间拉开了极大差距。举个例子，快递行业，疫情的时候只有顺丰能送，没有疫情时你看不出来，一下子顺丰的业绩和估值把竞争对手甩出一大截。家电领域也是，过去格力一直是老大，美的在做渠道扁平化、T+3，一直没看到成果，突然疫情来了，美的占有率哗一下就上去了，超过了格力。当一些企业在埋头做事、还没体现到报表的时候，我们往往忽略这些事情未来可能产生的重大影响。这些伟大的企业都是在一些特别特殊的时候拐上去的，平时走在路上大家都好好的，突然来一场雨，发现有一个人带伞了，别人都淋成落汤鸡，就他家有伞。
**主持人**：由于时间关系，最后两个问题。您刚刚讲到财富管理行业，能否对这个行业具体展开，讲一下投资逻辑和投资机会？
**肖楠**：财富管理行业这个话题特别大，行业是分层的，顶级富豪、普通中产阶级、中低收入人员的财富管理意味着非常不同的事，有不同的公司和商业模式。我们最早关注这个行业是研究保险的时候，发现某些保险公司一个保险员一单能签七八千的首年保费，有些公司平均一个业务员只有两三千的水平。我们调研了特别厉害的销售和中等销售，发现同样是卖保险，背后的逻辑和机制差异超级大，这些公司的结构设置、激励机制、文化又有巨大差异。去年基金非常火，我们发基金时发现，有些渠道经理过来调研问的问题超级专业，另外一些渠道经理永远问下半年是涨是跌、明年是牛市还是熊市。同样在这个行业混的人，经营结果差距巨大。财富管理行业最大的逻辑在于财富分布超级不均匀，所以有些头部公司真的一口气拿掉行业增量的绝大部分，可能拿掉70%、80%，第二名只能拿到剩下20%的80%。在这种特别偏激、幂律分布的行业里，有可能诞生出特别大的企业。很遗憾，我们有一些产品因为监管和法律规则的原因反而不能投类似标的，但未来合同设置更清晰的时候，我们可能会在这方面的投资上有所体现。
**主持人**：您讲到第二第三增长曲线需要卓越的企业家精神，企业家精神应该是投资中比较艺术的部分，请问您在观察这个指标方面有什么心得和把握？
**肖楠**：第一个心得是评判这个因素时要特别小心谨慎，不要乱归因。不要因为一个企业经营成功就说这个企业家特别厉害，就像不要因为一个基金经理业绩好就说他特别厉害。一定要把所有能归因到数据里客观指标的因素全部归因完，再特别谨慎地评价一些比较虚的因素。第二个是不要轻易给这些因素定价，绝对不要说因为这个企业家在，所以公司就能值多少。我强调的一直是避免错误归因，避免因为对企业家认可去犯投资错误，一定要把底线风险搞好。我们一致同意这个东西不可被定价。这些比较虚的因素——技术进步、企业家精神——什么时候考虑？在所有客观归因尽量穷尽以后，可能某种程度上一些收益率的归因要归到这里面去。另外，我们只能在有限范围内做两两比较，比如两家公司做同样生意、同样产品，在这种限定条件下比较两个企业家的水平高低、理念先后，去找你认可的那一家，不要跨行业、跨业务、跨产品去比较。不要什么事情都归结到企业家身上，一定要谨慎使用所谓企业家精神、伟大企业这些词，在一些特别极端的时候它可能是你某些信仰上的支持，但尽量不要去用。</t>
        </is>
      </c>
      <c r="D25" s="10" t="n">
        <v>95.90000000000001</v>
      </c>
      <c r="E25" t="inlineStr">
        <is>
          <t>26252/8715</t>
        </is>
      </c>
    </row>
    <row r="26" ht="13.5" customHeight="1" s="9">
      <c r="A26" s="6" t="inlineStr">
        <is>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is>
      </c>
      <c r="B26" s="2" t="inlineStr">
        <is>
          <t>辩论会</t>
        </is>
      </c>
      <c r="C26" t="inlineStr">
        <is>
          <t># 辩论内容概述
本次辩论赛围绕“拥有让人爱上自己的超能力是否美好”展开，正方为RUC棒辩论队，反方为对方辩友。正方主张爱是自由意志的产物，超能力通过洗脑剥夺对方选择，类似占有而非爱；反方则认为爱非意志可控，超能力是改变自己或创造条件，且掌握在爱你的人手中优于未知命运。双方就超能力是否剥夺自由意志、是否等同于洗脑、真爱本质等核心议题展开交锋，正方在质询与自由辩论中逐步占据优势，最终评委判定正方获胜，获得4分钟小结时间。
# 核心论点
辩题为“拥有让人爱上自己的超能力是否美好”，正方主张超能力剥夺自由意志、非真爱，反方主张爱非意志可控、超能力可改变自己或创造条件。双方论点详见下表。
| 阵营 | 立论框架 | 核心论点 | 支撑论据 |
| --- | --- | --- | --- |
| 正方 | 爱是自由意志的产物，超能力剥夺对方选择 | 超能力通过洗脑获取的爱是占有而非爱 | 类比强奸，违背对方意志强行介入亲密关系；真爱应保留对方说“不”的权利；超能力使爱来得太容易可能导致不珍惜 |
| 反方 | 爱非意志可控，超能力可改变自己或创造条件 | 超能力可改变自己或创造100%符合对方需求的条件 | 爱是玄学，科学无法解释为何偏偏对某人产生爱；将红线交给爱你的人比交给未知命运更可靠 |
# 环节交锋
## 开篇立论
- **正方**：爱是自由意志的产物，超能力抹杀了对方的决定；月老和丘比特让有情人终成眷属，若强行牵线则非浪漫。
- **反方**：爱是玄学，科学无法解释为何偏偏对某人产生爱；超能力可改变自己或创造100%符合对方需求的条件。
## 质询
- **正方**：超能力通过洗脑获取的爱是占有而非爱，类比强奸，违背对方意志强行介入亲密关系。
- **反方**：爱非意志可控，超能力可改变自己或创造100%符合对方需求的条件，且掌握在爱你的人手中优于未知命运。
## 自由辩论
- **正方**：超能力使爱来得太容易，可能导致不珍惜；真爱应保留对方说“不”的权利。
- **反方**：珍惜程度取决于认真对待，而非获得爱的难易；将红线交给爱你的人比交给未知命运更可靠。
- **正方**：使用超能力后，若相处不合适应放手，否则留下遗憾。
- **反方**：若一开始就做好可能不合适的准备，则放手是爱的表现。
## 小节总结
- **正方**：反方未能论证爱是自由意志的产物，洗脑式获取的爱并非真爱，而是占有。
- **反方**：将红线交给爱你的人比交给未知命运更可靠，保留被爱者的选择空间。
# 结辩与评委点评
- **正方结辩**：正方总结指出，反方未能论证爱是自由意志的产物，洗脑式获取的爱并非真爱，而是占有；真爱应保留对方说“不”的权利，超能力使爱来得太容易可能导致不珍惜。
- **反方结辩**：反方强调爱是玄学，科学无法解释，超能力可改变自己或创造100%符合对方需求的条件，将红线交给爱你的人比交给未知命运更可靠。
- **评委点评**：评委判定正方获胜，获得4分钟小结时间。</t>
        </is>
      </c>
      <c r="D26" s="10" t="n">
        <v>32.1</v>
      </c>
      <c r="E26" t="inlineStr">
        <is>
          <t>12403/1264</t>
        </is>
      </c>
    </row>
    <row r="27" ht="13.5" customHeight="1" s="9">
      <c r="A27" s="6" t="inlineStr">
        <is>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is>
      </c>
      <c r="B27" s="2" t="inlineStr">
        <is>
          <t>就医咨询</t>
        </is>
      </c>
      <c r="C27" t="inlineStr">
        <is>
          <t># 就诊概况
患者为女性，年龄、职业未提及。2023年9月因腹痛确诊结肠癌并切除，术后行8期化疗；复查发现肝转移，行肝消融及乳腺结节切除，但腹膜转移可能切除不干净。后续化疗因肝功能不佳停用部分药物，停药3个月。2024年3月底复查发现肝、肺、腹膜转移，4月份PET-CT显示广泛转移，肠镜未见异常但PET显示有转移。本次就诊核心主诉为结肠癌术后转移，讨论后续全身治疗方案。
# 病史与背景
- **现病史**：2023年9月因腹痛（疼了一晚上）确诊结肠癌，行结肠癌切除手术，术后行8期化疗；复查发现肝转移，行肝消融及乳腺结节切除，但腹膜转移可能切除不干净；后续化疗因肝功能不佳停用部分药物，停药3个月；2024年3月底复查发现肝、肺、腹膜转移；4月份PET-CT显示广泛转移，肠镜未见异常但PET显示有转移。
- **既往史**：患者多年来肠胃较弱，吃海鲜易上吐下泻。
- **手术史**：结肠癌切除手术、肝消融、乳腺结节切除。
- **近期用药**：化疗药物（具体药名未提及），因肝功能不佳停用部分药物。
# 诊断与检查结果
- **诊断结论**：结肠癌术后转移，累及肝、肺、腹膜。
- **检查结果**：4月份PET-CT显示广泛转移；肠镜显示无异常，但PET显示有转移，医生认为可能是肠镜做得不好。
- **基因检测**：建议进行基因检测（包括M2D等），可通过组织、血液、尿液、唾液进行。
- **免疫评估**：建议进行免疫评估，了解免疫细胞状态。
# 治疗方案与医嘱
- **检查安排**：建议进行基因检测（包括M2D等），可在肿瘤医院进行；建议进行免疫评估。
- **治疗建议**：当前主要问题是全身系统治疗（化疗、靶向、免疫可联合使用），而非局部介入；若肿瘤增大至10公分或危及生命，才需考虑局部处理。
- **用药说明**：因肝功能不佳，化疗药物停用部分，停药3个月。
- **生活方式**：建议患者调整状态，提升免疫力。
| 药品名称 | 用法用量 | 注意事项 |
| --- | --- | --- |
| 未提及 | — | — |
# 复诊与预警信号
未提及</t>
        </is>
      </c>
      <c r="D27" s="10" t="n">
        <v>26.5</v>
      </c>
      <c r="E27" t="inlineStr">
        <is>
          <t>7063/897</t>
        </is>
      </c>
    </row>
    <row r="28" ht="13.5" customHeight="1" s="9">
      <c r="A28" s="6" t="inlineStr">
        <is>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is>
      </c>
      <c r="B28" s="2" t="inlineStr">
        <is>
          <t>产品发布</t>
        </is>
      </c>
      <c r="C28" t="inlineStr">
        <is>
          <t># 产品概况
海尔洗衣机创新发布会于海尔洗衣机用户研发中心举行，主讲人介绍了专为中国用户阳台叠放痛点设计的洗干集成新物种迭代H2。该产品一体集成机身，解决洗烘套装叠放带来的震动安全隐患，高度降至167厘米，超薄机身可嵌入60厘米标准橱柜，全平不突出，并采用同向开门与无水盒设计。H2搭载多项创新技术：灵犀洗烘联动实现数据共享，洗涤结束前上桶提前15分钟主动预热；原创双擎热泵技术使大件烘干不缠绕；首次引入3D透视烘干，羽绒服和水洗被可一次烘透；升级精华洗2.0，39分钟洗净一周衣物，新鲜净水漂洗减少洗衣液残留；空净过滤系统去除衣物线屑和毛絮；三台变频电机降低洗涤、甩干、烘干全过程噪音。两款产品定价公布：10kg 3D透视烘干款12998元，10kg净净双擎热泵款10998元。
# 市场定位与目标用户
目标人群为中国家庭，尤其是追求整洁有序新阳台、希望从漫长家务中解放出来的年轻人，以及养宠物、有宝宝的家庭。典型使用场景为客阳一体风格的阳台，用户在此休闲娱乐、健身、社交，悬挂晾衣既不美观又占空间。市场背景：在欧洲滚筒洗衣机发源地，许多家庭有独立洗衣房，洗烘套装并排摆放；而在中国，80%的用户把洗烘套装叠放在阳台使用，存在屏幕过高、开门方向相反、水盒太高太沉等不便。产品专为客阳一体空间设计，一体集成机身解决叠放带来的震动等安全隐患，高度降为167厘米，超薄机身嵌入60厘米标准橱柜，全平不突出，同向开门尊重使用习惯，无水盒设计无需手动倒水。
# 核心卖点与技术参数
## 集成设计
- **一体集成机身**：专为客阳一体空间设计，解决洗烘套叠放带来的震动等安全隐患，高度降为167厘米，不用踮脚尖即可操作
- **超薄平嵌**：超薄机身完美嵌入60厘米标准橱柜，全平不突出，让阳台更美观整洁
- **同向开门**：尊重使用习惯，取放衣物流畅自如
- **无水盒设计**：无需手动倒水
## 智慧互联
- **灵犀洗烘联动**：H2独有的灵犀洗烘联动实现数据共享，让烘干和洗涤无缝连接，洗涤结束前上桶提前15分钟主动预热，缩短烘干时长
- **智慧大脑**：H2全新升级的智慧大脑，利用中枢神经式的智能网络，让上下桶默契配合
## 烘干技术
- **原创双擎热泵技术**：大件烘干不缠绕
- **3D透视烘干**：首次引入行业领先黑科技，羽绒服和水洗被可一次烘透，免去二次晾晒烦恼
## 洗涤技术
- **精华洗2.0**：升级精华洗2.0，激活洗衣液39分钟洗净一周衣物
- **新鲜净水漂洗**：减少洗衣液残留，对残留泡沫敏感的人是福音
## 健康护理
- **空净过滤系统**：去除衣物线屑和毛絮，适合养宠物的家庭，洗衣无残留、干衣无毛絮，特别适合有宝宝的家庭
- **三台变频电机**：洗涤、甩干、烘干全过程噪音低，享受安静陪伴时光
| 维度 | 本产品 | 上代/竞品 | 提升 |
| --- | --- | --- | --- |
| 集成设计 | 一体集成机身，高度167厘米，超薄嵌入60厘米标准橱柜，全平不突出，同向开门，无水盒设计 | 洗烘套装叠放，屏幕过高、开门方向相反、水盒太高太沉 | 解决震动安全隐患，操作更便捷，阳台更美观整洁 |
| 智慧互联 | 灵犀洗烘联动，数据共享，洗涤结束前上桶提前15分钟主动预热 | 洗烘套装貌合神离，无联动 | 烘干和洗涤无缝连接，缩短烘干时长 |
| 烘干技术 | 原创双擎热泵技术，大件烘干不缠绕；首次引入3D透视烘干，羽绒服和水洗被一次烘透 | 未提及 | 免去二次晾晒烦恼 |
| 洗涤技术 | 精华洗2.0，39分钟洗净一周衣物；新鲜净水漂洗减少洗衣液残留 | 未提及 | 洗衣更高效，减少残留 |
| 健康护理 | 空净过滤系统去除线屑毛絮；三台变频电机降低噪音 | 未提及 | 适合养宠和有宝宝家庭，安静陪伴 |
# 定价与发售信息
10kg 3D透视烘干款定价12998元，10kg净净双擎热泵款定价10998元。定价策略：海尔为这款平嵌超薄产品拿出诚意满满的定价。发售时间、购买渠道与预售政策未提及。</t>
        </is>
      </c>
      <c r="D28" s="10" t="n">
        <v>33.6</v>
      </c>
      <c r="E28" t="inlineStr">
        <is>
          <t>7311/1702</t>
        </is>
      </c>
    </row>
    <row r="29" ht="13.5" customHeight="1" s="9">
      <c r="A29" s="6" t="inlineStr">
        <is>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is>
      </c>
      <c r="B29" s="2" t="inlineStr">
        <is>
          <t>通用纪要</t>
        </is>
      </c>
      <c r="C29" t="inlineStr">
        <is>
          <t># 全文摘要
中共巢湖市银屏镇白母山村芦塘支部召开党员大会改选支部委员会。支部共有正式党员8名，因病请假1名，实到会有选举权党员7名，符合法定人数；银屏镇党委组织委员钱小丽应邀出席并代表镇党委提出三点意见。会议围绕换届选举展开，依次完成上届支部委员会工作报告审议、通过大会选举办法、支委候选人名单及监票计票人员名单、候选人竞职演说、无记名投票选举新一届支部委员和书记、支委分工等议程。大会选举发出并收回选票7张，卢燕娇、辛东升、杜军强当选为新一届支部委员会委员；第一次支委会发出并收回选票3张，卢燕娇以3票当选党支部书记，辛东升负责组织宣传工作、杜军强负责纪检工作，最终结果以报镇党委批准为准。上届工作报告提及三年间新发展党员1名、收缴党费2640元上交上级党组织。
# 分段速览
## 00:00:13-00:02:03 大会开幕
主持人宣布召开中共巢湖市银屏镇白母山村芦塘支部党员大会，改选支部委员会。支部共有党员8名，其中正式党员8名，有选举权；因病请假1名，实到会有选举权党员7名，符合法定人数。银屏镇党委组织委员钱小丽应邀参加。主持人宣布大会开始，全体起立奏国歌。
## 00:02:03-00:05:12 领导讲话与工作报告
钱小丽代表镇党委提出三点意见：充分认识大会重要意义、正确行使选举权严格把握选举要求、服从大局严格遵守选举纪律。主持人代表上届支部委员会作工作报告，总结三年工作：加强思想政治建设和理论学习、抓好党支部建设、开展主题教育活动、党务公开、党风党纪教育；新发展党员1名，按规定收缴党费2640元上交上级党组织。报告指出存在问题：党建工作制度不够完善、党员主体意识尚需提高、党支部对党员教育管理监督不够深入。
## 00:05:12-00:08:39 通过选举办法
党员对工作报告无意见，鼓掌通过。杜军晓宣读党员大会选举办法草案，规定：选举支部委员会委员3名，候选人4名，差额不少于应选名额20%；无记名投票，先差额选举委员再等额选举书记；实到会有选举权党员须超过应到会4/5方可选举；收回选票数等于或少于发出选票数选举有效；候选人得赞成票超过应到会选举人数半数方可当选。党员一致通过。
## 00:08:39-00:10:43 通过候选人及工作人员名单
杜军晓宣读镇党委批复，同意委员候选人预备人选4名：卢燕娇、辛东升、杜军强、秦磊；书记候选人预备人选卢燕娇，批复日期2019年10月12日。党员无不同意见，鼓掌通过。提议贾淑玲担任监票人，表决通过；宣布计票人员为黄婷丽、刘彩云。
## 00:10:43-00:14:45 候选人竞职演说
四位候选人依次演说。卢燕娇（1993年9月出生，2014年4月入党）承诺加强支部建设、推动村集体经济发展、抓好民生工程；杜军强承诺担当桥梁纽带角色，为党员和群众服务；辛东升承诺群众有困难随叫随到，严格要求自己，完成上级任务；秦磊承诺有责任心、思想觉悟高，配合上级工作，不计较个人得失。
## 00:14:45-00:21:17 大会选举新一届支部委员
清点人数：应到会有选举权党员8名，因病请假1名，实到7名，达到应到会4/5，可以进行选举。检查票箱、分发选票、说明填写方法后投票。实到会有选举权党员7名，发出选票7张，收回7张，选举有效。计票结果：卢燕娇6票、杜军强6票、秦磊2票。卢燕娇、辛东升、杜军强当选为新一届支部委员会委员。
## 00:21:17-00:28:42 第一次支委会选举书记及分工
新当选委员召开第一次支委会，通过选举办法，规定等额选举书记1人，实到会委员须超过应到会4/5方可选举。主持人建议卢燕娇继续担任支部书记，无不同意见，鼓掌通过；提议辛东升担任监票人和计票人，表决通过。发出选票3张，收回3张，卢燕娇得3票当选新一届党支部书记。分工：辛东升负责组织宣传工作，杜军强负责纪检工作。
## 00:28:42-00:29:56 宣布结果及闭幕
主持人宣布选举结果：卢燕娇当选为巢湖市银屏镇白母山村芦塘党支部书记，最终结果以报镇党委批准为准。新当选支委代表发言，承诺抓好学习、制度建设、完善基层党组织建设。大会圆满结束，全体起立奏国际歌。
# 要点梳理
## 换届选举大会开幕及领导讲话
- **参会人数**：支部共有党员8名，其中正式党员8名，有选举权；因病请假1名，实到会有选举权党员7名，符合法定人数。
- **出席人员**：银屏镇党委组织委员钱小丽应邀参加。
- **钱小丽讲话**：代表镇党委提出三点意见——充分认识大会重要意义、正确行使选举权严格把握选举要求、服从大局严格遵守选举纪律。
## 上届支部委员会工作报告
- **工作成绩**：三年工作总结为五个方面——加强思想政治建设和理论学习、抓好党支部建设增强凝聚力、开展主题教育活动改进思想作风、开展党务公开推进党内民主、抓好党风党纪教育筑牢拒腐防变思想防线。
- **具体数据**：新发展党员1名，按规定收缴党费2640元上交上级党组织。
- **存在问题**：党建工作制度不够完善；党员主体意识尚需提高，个别党员干部顶推中心服务大局的意识不强；党支部对党员教育管理监督不够深入。
- **报告审议**：党员对报告无意见，鼓掌通过。
## 通过大会选举办法
- **选举办法要点**：大会选举支部委员会委员3名，候选人4名，差额不少于应选名额20%；候选人按姓氏笔画为序排列。
- **选举方式**：采用无记名投票，先差额选举支部委员会委员，再从当选委员中等额选举书记，两次选举分别投票、计票和宣布结果。
- **有效条件**：参加会议有选举权的正式党员必须超过应到会党员的4/5方可进行选举；收回选票数等于或少于发出选票数选举有效，多于则无效。
- **当选规则**：候选人得到赞成票数超过应到会选举人数半数方可当选；得票超过半数的候选人多于应选名额时以得票多少为序取足；最后几名票数相等时重新投票；超过半数候选人少于应选名额时不足名额在未过半数候选人中重新选举，接近应选名额可减少名额不再选举。
- **选票填写**：赞成在候选人姓名上方空格画圈，不赞成画叉，弃权不画符号；另选他人在候选人后面空格写姓名并在其姓名上方画圈，只写姓名不画圈无效；每张选票所选人数等于或少于应选人数有效，超过无效。
- **工作人员**：设监票人1名经大会表决通过，设选举工作人员2名由会议主持人指定；支部委员候选人不能担任监票人和工作人员。
- **表决结果**：杜军晓宣读选举办法草案，党员大会一致通过。
## 通过支委候选人名单
- **镇党委批复**：银屏镇党委批复同意新一届支部委员会委员和书记候选人预备人选名单，批复日期2019年10月12日。
- **候选人名单**：委员候选人预备人选4名——卢燕娇、辛东升、杜军强、秦磊；书记候选人预备人选卢燕娇。
- **选举方式批复**：委员实行差额选举，差额1人；书记实行等额选举。
- **表决结果**：党员无不同意见，鼓掌通过候选人名单。
## 通过选举工作人员名单
- **监票人**：提议贾淑玲担任监票人，经表决一致通过。
- **计票人**：宣布计票人员为黄婷丽、刘彩云。
## 候选人竞职演说
- **卢燕娇**：1993年9月出生，2014年4月加入中国共产党；承诺进一步加强支部建设，落实三会一课、组织生活会和民主评议党员等基本制度，结合两学一做学习教育常态化制度化开展不忘初心、牢记使命主题教育；进一步推动村集体经济发展，发挥党组织和党员在产业培育、农民增收、脱贫攻坚方面的示范引领和帮扶帮带作用；进一步抓好各项民生工程落实，把群众利益作为工作首要职责、群众满意度作为衡量工作标准。
- **杜军强**：从事村委会工作，平时与各类人群有工作接触；承诺如当选可更好担当桥梁纽带角色，向基层党员传达广大党员和群众的利益诉求，为党员和群众服务。
- **辛东升**：承诺群众有困难随叫随到；严格要求自己做合格党员干部，不该吃的饭不吃、不该拿的钱不拿、不该做的事不做；圆满完成上级党组织分配的各项任务。
- **秦磊**：竞选有利条件为有较强责任心、能认真参加支部组织的理论学习、不折不扣完成组织交给的任务；有较高思想觉悟，利用业余时间学习；承诺配合上级和各项工作，全体党员团结一心，不计较个人得失，当一名合格的支部委员。
## 大会选举新一届支部委员
- **清点人数**：应到会有选举权党员8名，因病请假1名，实到会7名，达到应到会有选举权党员人数的4/5，可以进行选举。
- **选票发放与回收**：发出选票7张，收回选票7张，选举有效。
- **计票结果**：卢燕娇6票，杜军强6票，秦磊2票。
- **当选结果**：卢燕娇、辛东升、杜军强当选为新一届中共巢湖市银屏镇白母山村芦塘支部委员会委员。
## 第一次支委会选举书记及分工
- **选举办法**：支委会第一次全体会议选举产生支部书记1人；选举工作由上届支部委员会委托一名新当选委员主持；书记候选人建议名单由上届支委会根据镇党委批复提交新支委会酝酿，根据多数委员意见确定正式候选人；采用无记名投票，等额选举；实到会委员须超过应到会委员4/5方可选举；候选人得赞成票超过实到会委员半数当选。
- **书记候选人**：主持人介绍卢燕娇工作认真负责，上届支委会在其带领下各项工作取得较好成绩，建议继续由卢燕娇担任支部书记；无不同意见，鼓掌通过。
- **工作人员**：提议辛东升担任监票人和计票人，表决通过。
- **选举结果**：发出选票3张，收回选票3张，卢燕娇得3票当选新一届党支部书记。
- **委员分工**：辛东升负责组织宣传工作，杜军强负责纪检工作。
## 宣布选举结果及闭幕
- **选举结果宣布**：卢燕娇当选为巢湖市银屏镇白母山村芦塘党支部书记，最终结果以报镇党委批准为准。
- **新当选支委代表发言**：承诺抓好支部学习工作，争创学习型支部，组织开展不忘初心、牢记使命主题教育；抓好支部制度建设工作，争创制度型支部；完善基层党组织建设，争创服务型支部，严格按照中国共产党党支部工作条例（试行）加强支部建设，发挥战斗堡垒和党员先锋模范作用。
- **大会闭幕**：大会完成各项任务，全体起立奏国际歌，换届选举大会圆满结束。
## 结论与决定
- **通过党员大会选举办法**：党员大会一致表决通过。
- **通过支委候选人名单**：卢燕娇、辛东升、杜军强、秦磊为委员候选人，卢燕娇为书记候选人，鼓掌通过。
- **通过选举工作人员名单**：贾淑玲任监票人，黄婷丽、刘彩云任计票人，表决通过。
- **新一届支部委员会当选**：卢燕娇、辛东升、杜军强当选为支部委员会委员。
- **新一届党支部书记当选**：卢燕娇当选为党支部书记，等额选举得3票，最终结果以报镇党委批准为准。
- **委员分工确定**：辛东升负责组织宣传工作，杜军强负责纪检工作。
## 行动项与分工
- **辛东升**：负责支部组织宣传工作。
- **杜军强**：负责支部纪检工作。
- **新一届支委会**：抓好支部学习工作，组织开展不忘初心、牢记使命主题教育；抓好支部制度建设工作；完善基层党组织建设，按中国共产党党支部工作条例（试行）加强支部建设。
- **选举结果报送**：选举结果报镇党委批准（原文明确最终结果以报镇党委批准为准，未明确具体报送时限与责任人）。</t>
        </is>
      </c>
      <c r="D29" s="10" t="n">
        <v>64.3</v>
      </c>
      <c r="E29" t="inlineStr">
        <is>
          <t>8414/4684</t>
        </is>
      </c>
    </row>
    <row r="30" ht="13.5" customHeight="1" s="9">
      <c r="A30" s="6" t="inlineStr">
        <is>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is>
      </c>
      <c r="B30" s="2" t="inlineStr">
        <is>
          <t>政府报告</t>
        </is>
      </c>
      <c r="C30" t="inlineStr">
        <is>
          <t># 报告概况
国务院总理代表国务院向全国人民代表大会作《政府工作报告》，请予审议，并请全国政协委员提出意见。报告回顾2023年工作，提出2024年经济社会发展总体要求、主要预期目标和政府工作任务。2023年，面对异常复杂的国际环境和艰巨繁重的改革发展稳定任务，全年经济社会发展主要目标任务圆满完成，国内生产总值超过126万亿元、增长5.2%，城镇新增就业1244万人，粮食产量1.39万亿斤再创历史新高。2024年是中华人民共和国成立75周年、实现“十四五”规划目标任务的关键一年，报告坚持稳中求进工作总基调，提出国内生产总值增长5%左右等主要预期目标，部署大力推进现代化产业体系建设、加快发展新质生产力等十个方面政府工作任务，基调积极进取、务实为民。
# 核心政策
## 2024年经济社会发展总体要求与政策取向
- **总体要求**：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
- **政策基调**：坚持稳中求进、以进促稳、先立后破，多出有利于稳预期、稳增长、稳就业的政策，谨慎出台收缩性抑制性措施；在转方式、调结构、提质量、增效益上积极进取，强化宏观政策逆周期和跨周期调节。
- **形势研判**：今年我国发展面临的环境仍是战略机遇和风险挑战并存，**有利条件强于不利因素**；实现今年预期目标并非易事，需要政策聚焦发力、工作加倍努力、各方面齐心协力。
## 2024年主要预期目标
- **经济增长**：国内生产总值增长**5%左右**。
- **就业**：城镇新增就业**1120万人**，城镇调查失业率**5.5%左右**。
- **物价**：居民消费价格涨幅**3%左右**。
- **收入**：居民收入增长和经济增长同步。
- **国际收支**：国际收支保持基本平衡。
- **粮食安全**：粮食产量**1.3万亿斤以上**。
- **能耗**：单位国内生产总值能耗降低**2.5%左右**。
- **生态**：生态环境质量持续改善。
## 财政政策
- **赤字率**：拟按**3%**安排，赤字规模**4.06万亿元**。
- **支出规模**：一般公共预算支出规模**28.5万亿元**。
- **地方政府专项债券**：拟安排**3.9万亿元**。
- **超长期特别国债**：为系统解决强国建设、民族复兴进程中一些重大项目建设的资金问题，已连续几年发行超长期特别国债，专项用于国家重大战略实施和重点领域安全能力建设，**今年先发行10000亿元**。
- **支出结构优化**：大力优化支出结构，强化国家重大战略任务和基本民生财力保障；中央财政加大对地方均衡性转移支付力度，适当向困难地区倾斜；省级财政要推动财力下沉，兜牢基层`三保`底线。
- **过紧日子**：各级政府要习惯过紧日子，切实把财政资金用在刀刃上、用出实效。
## 货币政策
- **总体取向**：稳健的货币政策要灵活适度、精准有效，保持流动性合理充裕。
- **融资与货币供应**：社会融资规模、货币供应量同经济增长和价格水平预期目标相匹配。
- **融资成本**：促进社会综合融资成本稳中有降。
- **资本市场与汇率**：增强资本市场内在稳定性，保持人民币汇率在合理均衡水平上基本稳定。
## 宏观政策取向一致性
- **政策协调配合**：围绕发展大局加强政策协调配合，把非经济性政策纳入宏观政策取向一致性评估，确保同向发力、形成合力。
- **政策制定程序**：各地区各部门制定政策要认真听取和吸纳各方面意见，涉企政策要注重与市场沟通、回应企业关切，营造稳定、透明、可预期的政策环境。
## 2024年政府工作任务总体部署
- **工作总纲**：深入贯彻习近平经济思想，集中精力推动高质量发展，强化系统观念，把握和处理好重大关系，以更大的决心和力度深化改革开放，持续激发和增强社会活力。
- **任务框架**：党中央对今年工作作出全面部署，涵盖大力推进现代化产业体系建设、深入实施科教兴国战略、着力扩大国内需求、坚定不移深化改革、扩大高水平对外开放、更好统筹发展和安全、坚持不懈抓好三农工作、推动城乡融合和区域协调发展、加强生态文明建设、切实保障和改善民生等十个方面。
## 现代化产业体系建设
- **产业链供应链优化升级**：保持工业经济平稳运行，实施`制造业重点产业链高质量发展`行动，着力补齐短板、拉长长板、锻造新板；推动传统产业高端化、智能化、绿色化转型，加快发展现代生产性服务业，促进中小企业专精特新发展，加强标准引领和质量支撑，打造更多有影响力的`中国制造`品牌。
- **战略性新兴产业**：促进战略性新兴产业融合集群发展，巩固扩大智能网联、新能源汽车等产业领先优势，制定未来产业发展规划，鼓励发展创业投资、股权投资。
- **数字经济**：制定支持数字经济高质量发展政策，促进数字技术和实体经济深度融合，开展`人工智能+`行动，实施`制造业数字化转型`行动，大力推动数据开发开放和流通使用。
## 科教兴国战略
- **高质量教育体系**：全面贯彻党的教育方针，制定实施`教育强国建设规划纲要`，落实立德树人根本任务，开展`基础教育扩优提质`行动，办好特殊教育、继续教育，大力提高职业教育质量，加快建设中国特色世界一流的大学和优势学科。
- **高水平科技自立自强**：充分发挥新型举国体制优势，强化基础研究系统布局，推进关键核心技术协同攻关，加强颠覆性技术和前沿技术研发；强化企业科技创新主体地位，深化科技评价、科技奖励、科研项目和经费管理制度改革，加强知识产权保护，扩大国际科技交流合作。
- **人才政策**：实施更加积极、更加开放、更加有效的人才政策，推进高水平人才高地和吸引集聚人才平台建设，加大对青年科技人才支持力度，加快建立以创造价值、能力、贡献为导向的人才评价体系。
## 扩大国内需求
- **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宗消费；推动养老、育幼、家政等服务扩容提质，优化消费环境。
- **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在更多领域让民间投资进得来、能发展、有作为。
## 深化改革
- **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敢干敢闯敢投。
- **全国统一大市场**：着力推动产权保护、市场准入、公平竞争、社会信用等方面的制度规则统一，专项治理地方保护、市场分割、招商引资不当竞争等突出问题，坚持依法监管，坚决维护公平竞争的市场秩序。
- **财税金融改革**：谋划新一轮财税体制改革，落实金融体制改革部署，深化社会民生领域改革。
## 扩大高水平对外开放
- **外贸稳规模优结构**：支持企业开拓多元化市场，促进跨境电商等新业态健康发展，拓展中间品贸易、绿色贸易等新增长点，积极扩大优质产品进口，出台服务贸易、数字贸易创新发展政策。
- **加大吸引外资力度**：**全面取消制造业领域外资准入限制措施**，放宽电信、医疗等服务业市场准入，落实好外资企业国民待遇，加强外商投资服务保障，深入实施`自贸试验区提升`战略，打造对外开放新高地。
- **共建一带一路**：推动高质量共建`一带一路`走深走实，抓好支持高质量共建`一带一路`八项行动落实落地，稳步推进重大项目合作，实施一批`小而美`民生项目，加快建设西部陆海新通道。
- **多双边和区域经济合作**：与更多国家和地区商签高标准自贸协定和投资协定，全面深入参与世贸组织改革，推动建设开放型世界经济。
## 统筹发展和安全
- **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 **健全风险防控长效机制**：加快构建房地产发展新模式，加大保障性住房建设和供给，完善商品房相关基础性制度，满足居民刚性住房需求和多样化改善型住房需求；建立同高质量发展相适应的政府债务管理机制，提高金融风险防控能力。
- **重点领域安全能力建设**：全方位夯实粮食安全根基，强化能源资源安全保障，加快构建大国储备体系，有效维护产业链供应链安全稳定。
## 三农工作与乡村全面振兴
- **粮食和重要农产品稳产保供**：稳定粮食播种面积，健全种粮农民收益保障机制，加大产粮大县支持力度，严守耕地红线，提高高标准农田建设投资补助水平；各地区都要扛起保障国家粮食安全责任。
- **巩固拓展脱贫攻坚成果**：加强防止返贫监测帮扶，确保不发生规模性返贫，强化易地搬迁后续帮扶，加大对国家乡村振兴重点帮扶县支持力度，让脱贫成果更可持续。
- **农村改革与发展**：启动**第二轮土地承包到期后再延长30年整省试点**，促进农民增收，壮大乡村富民产业；深入实施`乡村建设`行动，持续改善农村人居环境，建设宜居宜业和美乡村。
## 城乡融合与区域协调发展
- **新型城镇化**：把加快农业转移人口市民化摆在突出位置，深化户籍制度改革，完善人地钱挂钩政策，让有意愿的进城农民工在城镇落户，推动未落户常住人口平等享受城镇基本公共服务；新型城镇化要处处体现以人为本。
- **区域协调发展**：深入实施西部大开发、东北全面振兴、中部地区加快崛起、东部地区加快推进现代化等战略；支持京津冀、长三角、粤港澳大湾区等地区更好发挥高质量发展动力源作用，持续推进长江经济带高质量发展，推动黄河流域生态保护和高质量发展，制定主体功能区优化实施规划。
## 生态文明建设
- **生态环境综合治理**：深入践行`绿水青山就是金山银山`理念，协同推进降碳、减污、扩绿、增长；深入实施`空气质量持续改善行动计划`，统筹水资源、水环境、水生态治理，加强生态环境分区管控，组织打好`三北`工程三大标志性战役，完善生态产品价值实现机制。
- **绿色低碳经济**：推进产业结构、能源结构、交通运输结构、城乡建设发展绿色转型，完善支持绿色发展的政策和相关市场化机制，推动废弃物循环利用产业发展，加快形成绿色低碳供应链，建设美丽中国先行区。
- **碳达峰碳中和**：积极稳妥推进碳达峰碳中和，扎实开展`碳达峰十大行动`，深入推进能源革命，加快建设新型能源体系，确保经济社会发展用能需求。
## 保障和改善民生
- **稳就业促增收**：突出就业优先导向，加大促就业专项政策力度；**预计今年高校毕业生超过1170万人**，要强化促进青年就业政策，扎实做好退役军人、农民工等群体就业工作；多渠道增加城乡居民收入，扩大中等收入群体规模，努力促进低收入群体增收。
- **医疗卫生服务**：居民医保人均财政补助标准**提高30元**；深化公立医院改革，引导优质医疗资源下沉基层，加强县乡村医疗服务协同联动，促进中医药传承创新，深入开展`健康中国`行动和爱国卫生运动。
- **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
- **文化体育事业**：深入学习贯彻习近平文化思想，广泛践行社会主义核心价值观，发展哲学社会科学、新闻出版、广播电视、文学艺术和档案等事业，创新实施`文化惠民工程`，大力发展文化产业，推动全民健身活动广泛开展。
- **国家安全和社会稳定**：贯彻总体国家安全观，提高公共安全治理水平，着力夯实安全生产和防灾减灾救灾基层基础，坚决遏制重特大事故发生；完善社会治理体系，强化城乡社区服务功能，保障妇女、儿童、老年人、残疾人合法权益，坚持和发展新时代`枫桥经验`，推进矛盾纠纷预防化解，推动信访工作法治化，依法打击各类违法犯罪活动，建设更高水平的平安中国。
# 重点工作
## 大力推进现代化产业体系建设，加快发展新质生产力
- **推动产业链供应链优化升级**：保持工业经济平稳运行，实施制造业重点产业链高质量发展行动，着力补齐短板、拉长长板、锻造新板；推动传统产业高端化、智能化、绿色化转型，加快发展现代生产性服务业，促进中小企业专精特新发展，加强标准引领和质量支撑，打造更多有影响力的中国制造品牌。
- **促进战略性新兴产业融合集群发展**：巩固扩大智能网联、新能源汽车等产业领先优势，制定未来产业发展规划，鼓励发展创业投资、股权投资。
- **深入推进数字经济创新发展**：制定支持数字经济高质量发展政策，促进数字技术和实体经济深度融合，开展“人工智能+”行动，实施制造业数字化转型行动，大力推动数据开发开放和流通使用。
## 深入实施科教兴国战略，强化高质量发展的基础支撑
-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
- **加快推动高水平科技自立自强**：充分发挥新型举国体制优势，强化基础研究系统布局，推进关键核心技术协同攻关，加强颠覆性技术和前沿技术研发；强化企业科技创新主体地位，深化科技评价、科技奖励、科研项目和经费管理制度改革，加强知识产权保护，扩大国际科技交流合作，营造具有全球竞争力的开放创新生态。
- **全方位培养用好人才**：实施更加积极、更加开放、更加有效的人才政策，推进高水平人才高地和吸引集聚人才平台建设，加大对青年科技人才支持力度，加快建立以创造价值、能力、贡献为导向的人才评价体系。
## 着力扩大国内需求，推动经济实现良性循环
- **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宗消费；推动养老、育幼、家政等服务扩容提质，优化消费环境。
- **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在更多领域让民间投资进得来、能发展、有作为。
## 坚定不移深化改革，增强发展内生动力
- **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敢干敢闯敢投。
- **加快全国统一大市场建设**：着力推动产权保护、市场准入、公平竞争、社会信用等方面的制度规则统一，专项治理地方保护、市场分割、招商引资不当竞争等突出问题，坚持依法监管，坚决维护公平竞争的市场秩序。
- **推进财税、金融等领域改革**：谋划新一轮财税体制改革，落实金融体制改革部署，深化社会民生领域改革。
## 扩大高水平对外开放，促进互利共赢
- **推动外贸稳规模优结构**：支持企业开拓多元化市场，促进跨境电商等新业态健康发展，拓展中间品贸易、绿色贸易等新增长点，积极扩大优质产品进口，出台服务贸易、数字贸易创新发展政策。
- **加大吸引外资力度**：全面取消制造业领域外资准入限制措施，放宽电信、医疗等服务业市场准入，落实好外资企业国民待遇，加强外商投资服务保障，深入实施自贸试验区提升战略，打造对外开放新高地。
- **推动高质量共建“一带一路”走深走实**：抓好支持高质量共建“一带一路”八项行动落实落地，稳步推进重大项目合作，实施一批“小而美”民生项目，加快建设西部陆海新通道。
- **深化多双边和区域经济合作**：与更多国家和地区商签高标准自贸协定和投资协定，全面深入参与世贸组织改革，推动建设开放型世界经济。
## 更好统筹发展和安全，有效防范化解重点领域风险
- **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 **健全风险防控长效机制**：加快构建房地产发展新模式，加大保障性住房建设和供给，完善商品房相关基础性制度，满足居民刚性住房需求和多样化改善型住房需求；建立同高质量发展相适应的政府债务管理机制，提高金融风险防控能力。
- **加强重点领域安全能力建设**：全方位夯实粮食安全根基，强化能源资源安全保障，加快构建大国储备体系，有效维护产业链供应链安全稳定。
## 坚持不懈抓好“三农”工作，扎实推进乡村全面振兴
- **加强粮食和重要农产品稳产保供**：稳定粮食播种面积，健全种粮农民收益保障机制，加大产粮大县支持力度，严守耕地红线，提高高标准农田建设投资补助水平。
&gt; 各地区都要扛起保障国家粮食安全责任。我们这样一个人口大国，必须始终把饭碗牢牢端在自己手上。
- **毫不放松巩固拓展脱贫攻坚成果**：加强防止返贫监测帮扶，确保不发生规模性返贫，强化易地搬迁后续帮扶，加大对国家乡村振兴重点帮扶县支持力度，让脱贫成果更可持续。
- **稳步推进农村改革发展**：启动第二轮土地承包到期后再延长30年整省试点，促进农民增收，壮大乡村富民产业；深入实施乡村建设行动，持续改善农村人居环境，建设宜居宜业和美乡村。
## 推动城乡融合和区域协调发展，大力优化经济布局
- **积极推进新型城镇化**：把加快农业转移人口市民化摆在突出位置，深化户籍制度改革，完善人地钱挂钩政策，让有意愿的进城农民工在城镇落户，推动未落户常住人口平等享受城镇基本公共服务。
- **提高区域协调发展水平**：深入实施西部大开发、东北全面振兴、中部地区加快崛起、东部地区加快推进现代化等战略；支持京津冀、长三角、粤港澳大湾区等地区更好发挥高质量发展动力源作用，持续推进长江经济带高质量发展，推动黄河流域生态保护和高质量发展，制定主体功能区优化实施规划。
## 加强生态文明建设，推进绿色低碳发展
- **推动生态环境综合治理**：深入实施空气质量持续改善行动计划，统筹水资源、水环境、水生态治理，加强生态环境分区管控，组织打好“三北”工程三大标志性战役，完善生态产品价值实现机制。
- **大力发展绿色低碳经济**：推进产业结构、能源结构、交通运输结构、城乡建设发展绿色转型，完善支持绿色发展的政策和相关市场化机制，推动废弃物循环利用产业发展，加快形成绿色低碳供应链，建设美丽中国先行区。
- **积极稳妥推进碳达峰碳中和**：扎实开展碳达峰十大行动，深入推进能源革命，加快建设新型能源体系，确保经济社会发展用能需求。
## 切实保障和改善民生，加强和创新社会治理
- **多措并举稳就业促增收**：突出就业优先导向，加大促就业专项政策力度；预计今年高校毕业生超过1170万人，要强化促进青年就业政策，扎实做好退役军人、农民工等群体就业工作；多渠道增加城乡居民收入，扩大中等收入群体规模，努力促进低收入群体增收。
- **提高医疗卫生服务能力**：居民医保人均财政补助标准提高30元；深化公立医院改革，引导优质医疗资源下沉基层，加强县乡村医疗服务协同联动，促进中医药传承创新，深入开展健康中国行动和爱国卫生运动。
- **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
- **丰富人民群众精神文化生活**：深入学习贯彻习近平文化思想，广泛践行社会主义核心价值观，发展哲学社会科学、新闻出版、广播电视、文学艺术和档案等事业，创新实施文化惠民工程，大力发展文化产业，推动全民健身活动广泛开展。
- **维护国家安全和社会稳定**：贯彻总体国家安全观，提高公共安全治理水平，着力夯实安全生产和防灾减灾救灾基层基础，坚决遏制重特大事故发生；完善社会治理体系，强化城乡社区服务功能，保障妇女、儿童、老年人、残疾人合法权益，坚持和发展新时代“枫桥经验”，推进矛盾纠纷预防化解，推动信访工作法治化，依法打击各类违法犯罪活动，建设更高水平的平安中国。</t>
        </is>
      </c>
      <c r="D30" s="10" t="n">
        <v>58.4</v>
      </c>
      <c r="E30" t="inlineStr">
        <is>
          <t>9903/8888</t>
        </is>
      </c>
    </row>
    <row r="31" ht="13.5" customHeight="1" s="9">
      <c r="A31" s="6" t="inlineStr">
        <is>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is>
      </c>
      <c r="B31" s="2" t="inlineStr">
        <is>
          <t>沟通交流会</t>
        </is>
      </c>
      <c r="C31" t="inlineStr">
        <is>
          <t># 沟通背景与目的
杭州医学院检验医学院、生物工程学院通过B站、微博、抖音等平台开展专场直播，由学院党委书记、副院长宋宝峰副教授面向考生及家长介绍医学技术专业硕士点的招生情况与培养特色。该学位点于2024年获批，由检验医学院、生物工程学院（合署办公）牵头，联合医学影像学院、康复学院、信息工程学院共建，聚焦检验技术、医学影像技术、康复治疗、智能医学工程四个方向。直播围绕学位点基本情况、学科建设与优势、研究方向、师资队伍、培养与就业、2026年招考计划及复试安排等展开，并现场解答考生关于就业前景、初试科目、跨专业报考等疑问。整体基调为积极推介，强调学科实力与就业竞争力，欢迎考生报考。
# 核心信息与数据
## 学位点基本情况
- **学位点获批**：医学技术专业硕士点于2024年获批，为新增学位点。
- **共建学院**：由检验医学院、生物工程学院（合署办公）牵头，医学影像学院、康复学院、信息工程学院共建，共5个学院承担培养工作。
- **专业方向**：聚焦检验技术、医学影像技术、康复治疗、智能医学工程四个方向，其中检验技术细分为医检和卫检两个方向。
## 2025年招生情况
- **录取人数**：2025年录取64位考生，其中检验方向38人、影像方向11人、康复方向13人、智能医学工程方向2人。
## 学科建设与科研平台
- **学科层次**：医学技术于2023年获批浙江省一流学科B类。
- **科研项目与经费**：近五年获国家级基金项目19项、省鉴定领先项目1项；纵向科研经费1300万元，横向合作课题经费2200多万元。
- **科研获奖**：获省科技进步一等奖2项、二等奖1项、三等奖2项。
- **课程与专业建设**：建成国家级一流本科课程2门、国家级一流本科专业建设点2个。
- **省级科研平台**：建有省生物标志物与器官诊断转化重点实验室（2024年获批）、检验诊断关键技术研究室（2022年）、康复模块和机器人国际联合实验室（2023年）、省实验室和安全培训基地、数字化康复装备质量研究中心、脑认知与疾病数字医疗器械质量工程研究中心、浙江省神经系统疾病数字化装备研发重点实验室（2024年）等。
## 学科优势
- **体外诊断领域**：疫情期间与企业联合开发新冠病毒核酸检测、抗原检测、抗体检测三个产品，获NMPA注册；为中华医学会检验医学分会教育学组组长单位、卫生高新技术公司实体开发基地。
- **医学影像技术方向**：在多参数MRI、肿瘤分子影像学、医学图像处理等方面形成优势方向，建有国家级本科专业建设点、省医学重点学科、省临床放射质控中心、国家临床药物验证机构、国家卫健委外周血管介入诊疗培训基地等平台。
- **康复治疗方向**：依托省人民医院康复医学科，为省内综合医院中建科最早、人才最齐、技术最先进、设备最先进、社会效益最佳的康复医学科之一。
- **智能医学工程方向**：聚焦阿尔茨海默病智能预警数字生物标志物，居国际领跑水平；为浙江省中医药重点学科、老年助浴疾病数字器械医疗器械浙江省中心、智能医学前沿交叉学院。
## 主要研究方向
- **医学检验技术方向**：负责人吕建新教授，聚焦重大疾病新型生物标志物筛选及机制、新发突发传染病新型生物标志物筛选及致病机制、重大疾病体外诊断检测技术、新型药物系统治疗难治性疾病、神经免疫与再生五个方向；团队承担多项国家级和省部级项目，在线粒体氧化磷酸化功能改变与线粒体相关疾病、新冠病毒快速检测试剂方面取得突破，发表高水平论文百余篇。
- **卫生检验检疫方向**：负责人金大志研究员，聚焦新发突发传染病病原体检测检验新技术开发（艰难梭菌致病机制、耐药机制、基因组进化及小分子药物开发）和卫生检验技术研究；获省科技进步二等奖、三等奖各1项，省医药卫生科技进步一等奖1项、二等奖2项、三等奖1项，发表中科院一二区论文85篇，主编专业教材12部、主审7部。
- **医学影像技术方向**：负责人徐秀芳教授，研究多参数MRI、肿瘤分子影像学、神经导航引导脑肿瘤穿刺技术、脑肿瘤术前功能区定位四个方向；主持国家自然科学基金3项、省部级项目20多项，获全国优秀教材二等奖1项。
- **康复治疗方向**：负责人倪湘明教授（附属人民医院），研究康复技术研发、神经损伤修复与再生、运动康复机制与技术创新、意识障碍促醒机制、中西医康复治疗神经系统疾病五个方向；团队获国家级课题23项、省级课题23项，省科技进步三等奖2项、省医药卫生科技进步二等奖2项，国家发明专利和实用新型专利77项，主编专业书籍、主审教材8部、参编书籍40多部。
- **智能医学工程方向**：负责人李海教授，聚焦脑认知与脑疾病智能诊疗及康复、健康大数据分析与智慧医疗、脑机接口高端数字医疗器械、中医先进医疗器械研发、脑部及精神系统重大疾病（阿尔茨海默病、帕金森病、抑郁症、自闭症等）智能诊断五个方向；主持参与国家级项目3项、省部级重点研发计划及200万元以上重大设计项目，与中国人民解放军总医院、浙一医院、日本文化研究所等单位开展合作；与浙大联合研制的阿尔茨海默病数字预警仪已申报二类医疗器械。
## 师资队伍与领军人物
- **师资总体情况**：专任教师90人，高级职称53人（占30%以上），博士55人；硕导69人，其中正高35人、博士46人；专业背景涵盖临床检验诊断学、医学检验技术、影像技术、康复治疗学、智能医学工程、生化分子、免疫生物技术、微生物学、细胞生物学等。
- **人才称号**：教育部医学技术类专业教学指导委员会委员1人，省万人创新人才2人次，浙江省151人才5人，省杰青1人，省高层次创新人才2人，省领军型创新创业团队1个。
- **吕建新教授**：学位点负责人，博士，国家百千万人才工程入选者、国家行业专家、省万人计划领军人才；教育部医学技术类专业教学指导委员会委员、国家自然科学基金医学技术检验学科专家组组长、中华医学会检验学会教育学组组长；主持国家自然科学基金重点项目、科技部重点研发、863计划重点项目等十余项，发表高水平论文200多篇，获省科技奖一等奖3项、优秀教学成果奖2项。
- **徐秀芳教授**：博士，浙江省151人才第三层次、省高校中青年学科带头人，现任研究生院院长兼医学影像学院院长，国家一流本科专业建设点（医学影像技术）负责人，教育部教指委相关医学分会委员、中华医学会影像技术分会委员；近三年以通讯作者或第一作者发表多篇高水平论文。
- **叶祥明教授**：省人民医院主任医师、二级教授、博导、博士后导师，省康复中心主任、康复学院院长、省卫生领军人才、国家区域医疗中心浙江省重点培育专科康复医学学科带头人、数字化康复装备省部研究中心常务副主任；主持国家级课题3项、省重大课题2项，发表SCI论文98篇。
- **金大志研究员**：博士、硕导，美国华盛顿大学博士后、美国MSCC访问学者，省创新人才、省卫生创新人才、省首届优秀医疗机器人才，现任检验医学院学术院长、省生物标志物与器官诊断转化重点实验室主任、中国医师协会临床微生物分会常务委员；主持国家自然科学基金面上项目、863子项、科技部重大专项子课题、省重点研发计划、省自然基金重点项目、省部共建重大项目共25项，发表SCI论文50多篇，参编专著6部，获省科技进步二等奖、三等奖各1项及美国微生物学年会重要奖项。
- **李凯教授**：信息工程学院院长，复旦大学公共卫生学院博士、早稻田大学访问学者，智能医学前沿交叉学科研究院执行院长、智能医学工程学科负责人、浙江省中医药重点学科带头人，智慧健康装备领域专家；参与研制全生命周期中医治疗及康复医疗体系设备3台（套）。
## 硕士培养与毕业去向
- **培养目标**：面向健康中国发展需要，紧密服务区域行业产业发展，围绕国际学术前沿、国际重大需求和转化研究，培养熟练掌握医学技术领域专业知识技能、具有良好创新实践能力的高层次应用型人才。
- **培养方式与学制**：采用教学、专业实践与学位论文相结合方式；全日制专业学位学制三年，最长不超过五年。
- **学分要求**：实行学分制，毕业前学业课程不少于24学分，其中专业必修课≥12学分（分方向），专业选修课≥6学分（可选智慧医疗、中医康复治疗学、生物信息学等）。
- **培养环节**：第二学期开题，第三、四学期（研二）完成过程性考核，研二第二学期进行学位论文答辩。
- **就业方向**：医院相关科室（检验方向可进检验科、输血科、病理科；影像方向可进放射科、超声科；康复方向可进康复医学科、骨科、神经科、运动医学科）、疾控中心（CDC，参与传染病防控、慢性病防治等公共卫生工作）、医药企业与生物技术公司（研发、生产、市场销售、质量管理与法规合规）、医疗器械公司（研发、销售、技术支持）、保险公司（医疗保险核保理赔、健康险产品开发）、药监局/卫健委/海关（医疗器械监管、卫生政策制定、口岸卫生检疫）、高校及研究所（读博深造或从事研究）。
- **就业现状**：2025年开始招生，目前尚无毕业生。
## 2026年招考计划
- **计划招生**：2026年计划招生34人，仅供参考，以教育部正式下达人数为准。
- **初试科目**：共三门，思想政治理论、英语为统考科目，专业课按方向自主命题：检验方向考检验综合、影像方向考医学影像技术综合、康复方向考康复治疗综合、智能医学工程方向考智能医学工程综合。
- **检验综合考试内容**：分子生物学检验占40%、生物化学检验占30%、微生物学检验占30%。
- **考试形式**：专业课满分300分，考试时长180分钟，考试大纲含考试内容、形式、试卷结构、知识点及参考书目，以杭州医学院研究生招生网公布为准。
- **复试安排**：目前以线下为主，初试占60%、复试占40%；复试内容为英语能力测试20%、专业能力测试40%、综合能力测试40%，实行导师学生双向选择制。
- **信息渠道**：杭州医学院研究生招生网（研究生招生.杭州医学院.edu.cn）、杭州医学院研究生教育微信公众号。
# 各方立场与诉求
- **主持人**：代表后台考生提出就业前景关切，询问在当前经济形势下医学技术专业研究生毕业后的就业前景。
- **宋宝峰**：回应称国家坚持就业优先，该专业就业面宽广、有竞争力，毕业生可继续深造读博，也可进入三甲医院、疾控中心、医药企业、医疗器械公司、保险公司、药监局、卫健委、海关、高校研究所等单位，研究生学历在杭州高水平三甲医院和企业中具有核心竞争力，呼吁考生不必过度担心和焦虑。
- **主持人**：代考生询问硕士研究生入学考试初试科目有哪些，以便利用暑期备考。
- **宋宝峰**：回应称初试共三门，思想政治理论和英语为统考，专业课按报考方向自主命题（检验综合、医学影像技术综合、康复治疗综合、智能医学工程综合），并建议考生暑期重点备考，英语难度介于四级和六级之间，可参考研究生考试英语真题，同时关注杭州医学院研究生招生网和研究生教育微信公众号获取考试大纲与参考教材。
- **主持人**：代考生询问跨专业报考的可能性，称有考生担心节奏快不起来。
- **宋宝峰**：回应称医学技术专业鼓励跨学科跨专业报考，允许非本专业考生跨专业报考医学技术学位点，如从事检验方向可以跨专业自主报考，被录取概率会大大提高。
- **主持人**：代考生询问学校交通条件和能否参加学科竞赛。
- **宋宝峰**：回应称学校有三个校区，主校区在黄龙校区，位于主城区，交通便利；学校重视学科竞赛，研究生在竞赛中取得好成绩，有专门的选手讲座和培训，通过以赛促学、以赛促教、以赛促改提高教学质量和人才培养水平。
# 达成共识
- **学位点定位**：医学技术专业硕士点为2024年获批的新学位点，由检验医学院、生物工程学院（合署办公）牵头，医学影像学院、康复学院、信息工程学院共建，聚焦检验技术（医检、卫检）、医学影像技术、康复治疗、智能医学工程四个方向。
- **2025年招生口径**：2025年录取64位考生，其中检验方向38人、影像方向11人、康复方向13人、智能医学工程方向2人。
- **2026年计划招生口径**：2026年计划招生34人，宋宝峰明确说明该数字仅供参考，**实际招生人数以教育部2026年正式下达人数为准**。
- **初试科目口径**：初试共三门，思想政治理论、英语为统考科目，专业课按报考方向自主命题（检验综合、医学影像技术综合、康复治疗综合、智能医学工程综合）。
- **复试安排口径**：复试目前以线下为主，初试占60%、复试占40%；复试内容为英语能力测试20%、专业能力测试40%、综合能力测试40%。
- **跨专业报考口径**：宋宝峰明确表示**允许非本专业考生跨专业报考医学技术专业**，并称跨专业报考被录取的概率会大大提高。
- **就业前景口径**：宋宝峰确认就业面宽广，包括深造读博、三甲医院、疾控中心、医药企业、医疗器械公司、保险公司、药监局、卫健委、海关、高校研究所等方向，研究生学历具有核心竞争力。
- **考试信息发布渠道**：宋宝峰确认考试大纲、参考书目等以杭州医学院研究生招生网及研究生教育微信公众号公布为准。
# 待协调事项与后续
## 待协调事项
- **2026年计划招生人数**：目前公布为34人，仅供考生参考，实际招生人数以教育部2026年正式下达人数为准
- **初试参考书及考试大纲**：以杭州医学院研究生招生网公布为准，直播中仅作初步介绍
- **复试具体形式与内容**：以学校复试录取办法为基础，目前可参考2025年复试办法
## 后续安排与参与方式
- **直播回看**：本场直播结束后24小时内上传至B站，考生可随时搜索回看
- **招生信息渠道**：持续关注杭州医学院官网及杭州医学院研究生招生网（研究生招生.杭州医学院.edu.cn）
- **微信公众号**：关注「杭州医学院研究生教育」微信公众号，可查看考试方向、考试大纲及参考教材书籍
- **报考咨询**：考生可通过B站、微博、抖音弹幕区留言提问，直播中有嘉宾点评答疑
- **学校地址**：杭州医学院有三个校区，主校区位于主城区黄龙校区，交通便利</t>
        </is>
      </c>
      <c r="D31" s="10" t="n">
        <v>81.59999999999999</v>
      </c>
      <c r="E31" t="inlineStr">
        <is>
          <t>23026/5854</t>
        </is>
      </c>
    </row>
    <row r="32" ht="13.5" customHeight="1" s="9">
      <c r="A32" s="6" t="inlineStr">
        <is>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is>
      </c>
      <c r="B32" s="2" t="inlineStr">
        <is>
          <t>课堂记录</t>
        </is>
      </c>
      <c r="C32" t="inlineStr">
        <is>
          <t># 课程概况
本次课程为历史小论文写作专题指导课，由老师主讲、学生参与互动。课程围绕小论文写作的核心要点展开，强调观点必须明确、论证一般写两到三条、结构需清晰（可按时间顺序或国内外等逻辑罗列）、结尾需升华观点，并指出写作前需审题、注意要求中的“小红帽”及形成标准，读材料需抓主要信息再细看关系，建议先写题目再罗列事实。课程依次讲解了自命题类、观点提示类和图表信息类题型的解题方法：自命题类需先审题明确要求，以武汉长江大桥为例说明背景部分需按时间顺序先写对内改革再写对外开放；观点提示类需选择核心观点并明确判断，不能照抄材料观点，需结合丝绸之路、四大发明等具体史实论述；图表信息类需快速看题头、横向纵向信息，注意信息之间的关系变化。课程通过例题分析进行实践指导，学生尝试分析各类题目，老师指出其问题并引导完善论述。
# 核心知识点梳理
## 小论文写作基本要求
- **观点明确**：写作必须亮出个人观点，不能只是“几个方面加个名词”的简单陈述，观点需有凝聚力。
- **论证条数**：论证一般写**两到三条**，不宜过多；写一条难以支撑论点，太多则显冗长。
- **结构清晰**：可按时间脉络（如先秦、明清时期）、国内外、内政外交等逻辑罗列，必须让阅卷者清楚看到分了几条。
- **结尾升华**：最后论述需升华观点，不能简单把观点抄一遍；写作目的是升华观点，需简明有力。
## 写作步骤与方法
- **审题**：先阅读题目、慢点审题，注意要求中的“小红帽”及形成标准；如要求用世界史知识，就不能用中国史内容。
- **读材料**：先大概看材料抓主要信息，再细看材料之间的关系，提取有效信息。
- **列事实**：建议先写好题目，再罗列要用的史实，避免直接写在答题卡上出错后涂改；罗列的事实须与材料相关，不能乱列。
- **论述顺序**：背景部分按时间顺序写，如“先写对内改革，再写对外开放”，不能颠倒。
## 自命题类题型
- **题型特点**：材料引出话题，需自行提炼观点并展开论述；以武汉长江大桥为例，可写“新中国成立”或“改革开放以来”背景。
- **解题步骤**：审题看要求→读材料抓主要信息→先写题目→罗列相关史实→进行论述。
- **易错点**：学生易只看到材料表面写得很好，却未明确自己的观点和背景；如写武汉长江大桥，需交代对内改革、对外开放的时间顺序。
- **背景写法**：背景部分不能直接当成一个版本说，需按时间顺序展开，如先写对内改革再写对外开放。
## 观点提示类题型
- **题型特点**：材料给出若干观点，需选择核心观点并明确判断，如“我认为某观点是正确的/错误的”，不能照抄材料观点。
- **材料示例**：以1940年抗战时期材料为例，包含四个观点——国民应略知本国历史、了解本国历史可维护国家利益、对本国历史有敬意则不会偏激理解、国民了解历史则国家才能发展。
- **论述要求**：选择观点后需结合具体史实论证，如写“敬畏祖国意志”可引用丝绸之路、四大发明对欧洲的贡献、中华文化优越性等。
- **易错点**：不能照抄材料观点，需有自己的表述；需注意材料写作的时代背景（如1940年抗战时期），说明为何此时提出该观点。
## 图表信息类题型
- **题型特点**：材料以图表、历史地图、建筑图片等形式呈现，需快速提取关键信息。
- **解题步骤**：先看图表题头、横向纵向信息→注意信息之间的关系变化→提取有效信息→结合材料关系进行分析论述。
- **历史地图题**：需在地图上画位置、判断地点，如涉及707年、1900年等时间点；注意地图与材料的对应关系。
- **建筑类图表**：如展现两三个图线，需分析建筑与政治的关系，从建筑角度论述政治主题。
- **图表关系题**：如涉及共同体、共同外交安全政策、司法和内部合作等大框架制度，需提取三个信息并分析其关系，再下结论。
## 例题分析
- **武汉长江大桥题**：学生分析时未明确观点和背景，老师指出应写新中国成立或改革开放背景，按时间顺序先写对内改革再写对外开放。
- **观点提示材料题**：学生选择第二条观点（了解本国历史可维护国家利益），结合丝绸之路、四大发明对欧洲影响等史实论述，老师评价“写得还可以”。
- **历史地图题**：涉及中国历代领导等级变化，学生写“古代人的变化与文学”，老师指出可结合儒家思想、社会状态分析各时期（春秋、东汉、宋明）等级变化原因。
- **官方答案示例**：梁启超认为中国某时期具有合理性，突出“人人独善其身，人人相善其群”，用中华传统精神论证；唐朝国力强盛但民德较高，结论指向国家强盛、民德高尚与制度改善的关系。
# 课堂互动与答疑
**学生**：小论文的论证部分一般写几条比较合适？写太多或太少会有什么问题？
**教师**：论证一般写两到三条即可。写一条往往无法充分支撑论点，写太多则容易分散、难以深入。每条论证都要与材料相关，不能脱离材料乱罗列事实。
**学生**：写小论文时，审题环节具体要注意什么？
**教师**：审题要慢，先看题目要求，注意要求中是否有"小红帽"（即限定条件），以及评分标准。例如题目要求用世界史知识作答，就不能只写中国史内容；若限定了范围，也要严格遵循。审题不清是常见失分点。
**学生**：观点提示类题目中，如何选择和处理材料给出的观点？
**教师**：要在材料给出的多个观点中选择一个核心观点，明确表达自己认为该观点正确或错误，不能照抄材料原话。论述时需结合具体史实支撑自己的判断，并在结尾升华观点，不能简单重复开头。
**学生**：图表信息类题目应该从哪些角度快速提取信息？
**教师**：先看题头和横向、纵向栏目，抓住关键信息，再注意各信息之间的关系和变化趋势。例如历史地图要关注位置关系，数据表要关注数值变化。提取有效信息后再结合所学知识进行分析论述。
**学生**：写作时是直接写在答题卡上，还是先打草稿？
**教师**：建议先在草稿纸上写好题目，再罗列要使用的事实，确认逻辑清晰、与材料相关后再誊写到答题卡上，避免写错或涂改导致卷面混乱。
# 课后任务与学习建议
## 课堂练习
- **武汉长江大桥自命题练习**：考点为自命题类小论文审题与背景运用，需结合新中国成立或改革开放背景，按时间顺序先写对内改革再写对外开放，结论要点是明确观点并罗列与材料相关的事实。
- **观点提示类材料练习**：考点为选择核心观点并明确判断，材料含四个观点（国民应了解本国历史、敬畏祖国意志、通达历史避免偏激、国家发展需历史认知），结论要点是结合丝绸之路、四大发明等史实论述，不能照抄材料观点。
- **图表信息类练习**：考点为快速提取图表题头、横向纵向关键信息，注意信息间关系变化，结论要点是以历史地图、建筑与政治关系等为例，提取有效信息后进行分析论述。
- **历史地图绘制练习**：考点为在地图上标注位置与关系，结论要点是注意地图信息与材料、实践的关系，再形成本文论述。
## 复习重点
- **观点明确**：小论文必须亮出明确观点，不能只是几个方面加名词的简单陈述，观点需有凝聚力。
- **论证结构**：论证一般写两到三条，不宜过多，需按时间脉络（如先秦、明清时期）或国内外、内外等逻辑清晰罗列，让老师看清条理。
- **结尾升华**：最后论述需升华观点，不能简单重复观点内容，要体现写作目的。
- **审题要求**：注意题目要求中的"小红帽"及形成标准，如要求用世界史知识时不能搞错范围。
- **材料阅读**：先大概看材料抓主要信息，再细看信息间关系，罗列事实需与材料相关，不能乱罗列。
## 学习建议
- **先写题目再作答**：写作前先把题目写好，再罗列要写的事实，避免直接在答题卡上写导致出错或混乱。
- **观点提示类选核心观点**：需在多个观点中选择一个核心观点，明确判断其正确或错误，并在论点中详细表述，不能照抄材料。
- **图表类快速抓关键**：迅速看图表题头、横向纵向信息，注意信息间关系变化，提取有效信息后再分析。
- **结合史实论述**：论述需结合具体史实支撑观点，如丝绸之路、四大发明对欧洲的贡献等，不能只写空泛结论。</t>
        </is>
      </c>
      <c r="D32" s="10" t="n">
        <v>46.8</v>
      </c>
      <c r="E32" t="inlineStr">
        <is>
          <t>12357/3382</t>
        </is>
      </c>
    </row>
    <row r="33" ht="13.5" customHeight="1" s="9">
      <c r="A33" s="6" t="inlineStr">
        <is>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is>
      </c>
      <c r="B33" s="2" t="inlineStr">
        <is>
          <t>政府报告</t>
        </is>
      </c>
      <c r="C33" t="inlineStr">
        <is>
          <t># 报告概况
十四届全国人大三次会议于2025年开幕，出席代表2929人，当日出席2880人、缺席49人，出席人数符合法定人数，会议第一项议程为审议政府工作报告，由国务院总理李强代表国务院作报告。报告回顾2024年工作，指出面对外部压力加大、内部困难增多的复杂严峻形势，全年经济社会发展主要目标任务顺利完成，国内生产总值达134.9万亿元、增长5%，城镇新增就业1256万人，居民消费价格上涨0.2%，粮食产量首次跃上1.4万亿斤，新能源汽车年产量突破1300万辆，嫦娥六号实现人类首次月球背面采样返回；同时坦承内需不振、预期偏弱等问题交织叠加。报告提出2025年经济社会发展总体要求与主要预期目标，部署大力提振消费、因地制宜发展新质生产力、深入实施科教兴国战略、推动标志性改革举措加快落地、扩大高水平对外开放、有效防范化解重点领域风险、着力抓好三农工作、协同推进降碳减污扩绿增长、加大保障和改善民生力度、维护国家安全和社会稳定等十大任务，整体基调为坚持稳中求进、迎难而上，高质量完成“十四五”规划目标任务。
# 核心政策
## 核心政策
### 2025年经济社会发展主要预期目标
- **国内生产总值增长5%左右**，既是稳就业、防风险、惠民生的需要，也有经济增长潜力和有利条件支撑，并与中长期发展目标相衔接
- **城镇调查失业率5.5%左右**，**城镇新增就业1200万人以上**
- **居民消费价格涨幅2%左右**，居民收入增长和经济增长同步，国际收支保持基本平衡
- **粮食产量1.4万亿斤左右**，**单位国内生产总值能耗降低3%左右**，生态环境质量持续改善
### 宏观政策取向
- **财政政策**：今年赤字率拟按**4%左右**安排，赤字规模**5.66万亿元**；拟发行超长期特别国债**1.3万亿元**，更大力度支持`两重`建设；拟发行特别国债**5000亿元**支持国有大型商业银行补充资本；安排地方政府专项债券**4.4万亿元**；今年合计新增政府债务总规模**11.86万亿元**，比上一年增加**2.9万亿元**
- **货币政策**：实施适度宽松的货币政策，适时降准降息，保持流动性充裕，使社会融资规模、货币供应量增长同经济增长、价格总水平预期目标相匹配
- **民生导向**：强化宏观政策民生导向，经济政策的着力点更多转向惠民生、促消费，推动更多资金资源投资于人、服务于民生
- **政策协同**：健全和用好宏观政策取向一致性评估工作机制，提升政策目标、工具、时机、力度、节奏的匹配度，注意倾听市场声音
### 扩大内需与产业发展政策
- 实施`提振消费专项行动`，制定提升消费能力、增加优质供给、改善消费环境专项措施；安排超长期特别国债**3000亿元**支持消费品以旧换新
- 扩大有效投资：今年中央预算内投资已安排**7350亿元**；优化地方政府专项债券管理机制，支持和鼓励民间投资发展
- 培育壮大新兴产业、未来产业：开展`新技术、新产品、新场景大规模应用示范行动`，培育生物制造、量子科技、具身智能、6G等未来产业
- 推动传统产业改造升级：深入实施`制造业重大技术改造升级和大规模设备更新工程`，加快制造业数字化转型
- 激发数字经济创新活力：持续推进`人工智能+`行动，大力发展智能网联新能源汽车、人工智能手机和电脑、智能机器人等新一代智能终端，扩大5G规模化应用
### 科教兴国与改革开放政策
- 加快建设高质量教育体系：制定实施`教育强国建设三年行动计划`，加强义务教育学校标准化建设，扩大高中阶段教育学位供给，**逐步推行免费学前教育**
- 推进高水平科技自立自强：加快组织实施和超前布局重大科技项目，加强企业主导的产学研深度融合，从制度上保障企业参与国家科技创新决策、承担重大科技项目
- 推动标志性改革举措落地：高质量完成`国有企业改革深化提升行动`，开展`规范涉企执法专项行动`，纵深推进全国统一大市场建设，综合整治`内卷式竞争`，修订出台新版市场准入负面清单
- 深化财税金融体制改革：开展中央部门`零基预算改革试点`，加快推进部分品目消费税征收环节后移并下划地方，大力推动中长期资金入市
- 扩大高水平对外开放：扩大电信、医疗、教育等领域开放试点，推动高质量共建`一带一路`走深走实，持续扩大面向全球的高标准自由贸易区网络
### 风险防范与民生保障政策
- 推动房地产市场止跌回稳：合理控制新增房地产用地供应，盘活存量用地和商办用房，推进收购存量商品房，有效防范房企债务违约风险，加快构建房地产发展新模式
- 稳妥化解地方政府债务风险：完善和落实`一揽子化债方案`，动态调整债务高风险地区名单，做好地方政府隐性债务置换工作，坚决遏制违规举债行为
- 积极防范金融领域风险：一体推进地方中小金融机构风险处置和转型发展，综合采取补充资本金、兼并重组、市场退出等方式分类化解风险
- 稳定和扩大就业：实施重点领域、重点行业、城乡基层和中小微企业就业支持计划，开展大规模职业技能提升培训
- 强化基本医疗卫生服务：深化以公益性为导向的公立医院改革，优化药品集采政策，严格医保基金监管
- 完善社会保障：**城乡居民基本养老金最低标准再提高20元**，适当提高退休人员基本养老金；制定促进生育政策，**发放育儿补贴**，大力发展托幼一体服务
### 绿色转型与三农政策
- 协同推进降碳、减污、扩绿、增长：持续深入推进蓝天碧水净土保卫战，全面推进以国家公园为主体的自然保护地体系建设
- 积极稳妥推进碳达峰碳中和：建立一批零碳园区、零碳工厂，开展碳排放统计核算，建立产品碳足迹管理体系、碳标识认证制度，加快建设沙戈荒新能源基地，开展煤电低碳化改造试点示范
- 增强粮食等重要农产品稳产保供能力：稳定粮食播种面积，主攻单产和品质提升，严守耕地红线，高质量推进高标准农田建设，深入实施`种业振兴行动`
- 巩固拓展脱贫攻坚成果：提高监测帮扶效率，确保不发生规模性返贫致贫，统筹建立农村防止返贫致贫机制和低收入人口、欠发达地区分类分层帮扶制度
- 推进农村改革发展：有序推进第二轮土地承包到期后再延长30年试点，扩大整省试点范围
# 重点工作
## 大力提振消费、提高投资效益，全方位扩大国内需求
- **提振消费专项行动**：制定提升消费能力、增加优质供给、改善消费环境专项措施，释放多样化、差异化消费潜力，多渠道促进居民增收
- **消费品以旧换新**：安排超长期特别国债3000亿元支持消费品以旧换新
- **扩大服务消费**：扩大健康、养老、托幼、家政等多元化服务供给，加快数字、绿色、智能等新型消费发展，释放文化、旅游、体育等消费潜力
- **消费者权益保护**：强化消费者权益保护，营造安心放心消费环境
- **扩大有效投资**：发挥好各类政府投资工具作用，加快实施一批重点项目，切实选准选好项目，管好用好资金，坚决防止低效无效投资
- **投资安排**：今年中央预算内投资已安排7350亿元；用超长期特别国债更大力度支持"两重"建设
- **民间投资**：优化地方政府专项债券管理机制，支持和鼓励民间投资发展，让民间资本有更大发展空间
## 因地制宜发展新质生产力，加快建设现代化产业体系
- **培育新兴产业、未来产业**：深入推进战略性新兴产业融合集群发展，开展新技术、新产品、新场景大规模应用示范行动
- **未来产业布局**：培育生物制造、量子科技、具身智能、6G等未来产业
- **产业统筹与创新企业培育**：加强产业统筹布局和产能监测预警，梯度培育创新型企业，让更多企业在新领域新赛道跑出加速度
- **传统产业改造升级**：深入实施制造业重大技术改造升级和大规模设备更新工程，加快制造业数字化转型，开展标准提升引领传统产业优化升级行动，打造名品精品经典产业
- **数字经济创新**：持续推进"人工智能+"行动，大力发展智能网联新能源汽车、人工智能手机和电脑、智能机器人等新一代智能终端
- **数字基础设施**：扩大5G规模化应用，优化全国算力资源布局，深化数据资源开发利用，促进平台经济规范健康发展
## 深入实施科教兴国战略，提升国家创新体系整体效能
- **高质量教育体系建设**：制定实施教育强国建设三年行动计划，加强义务教育学校标准化建设，扩大高中阶段教育学位供给，逐步推行免费学前教育
- **高等教育与教师队伍**：扎实推进优质本科，加快"双一流"建设；建设高素质专业化教师队伍，加强师德师风建设
- **科技自立自强**：加快组织实施和超前布局重大科技项目，优化国家战略科技力量布局，推进科研院所改革
- **产学研融合**：加强企业主导的产学研深度融合，从制度上保障企业参与国家科技创新决策、承担重大科技项目
- **科技成果转化**：健全科技成果转化支持政策和市场服务，加强科学普及工作，弘扬科学家精神，推动形成鼓励探索、宽容失败的创新环境
- **人才队伍建设**：加快建设国家战略人才力量，大力支持和大胆使用青年科技人才，建设一流产业技术工人队伍，深化人才分类评价改革
## 推动标志性改革举措加快落地，更好发挥经济体制改革牵引作用
- **国有企业改革**：高质量完成国有企业改革深化提升行动
- **民营经济发展**：扎实落实促进民营经济发展的政策措施，加力推进清理拖欠企业账款工作，开展规范涉企执法专项行动
- **全国统一大市场建设**：破除地方保护和市场分割，综合整治"内卷式"竞争，修订出台新版市场准入负面清单，优化新业态新领域市场准入环境
- **信用与退出机制**：构建统一的信用修复制度，完善企业简易注销，逐步推广新主体活动发生地统计
- **财税体制改革**：开展中央部门零基预算改革试点，支持地方深化零基预算改革，加快推进部分品目消费税征收环节后移并下划地方
- **资本市场改革**：深化资本市场投融资综合改革，大力推动中长期资金入市，加强战略性力量储备和稳市机制建设
## 扩大高水平对外开放，积极稳外贸、稳外资
- **稳定对外贸易**：优化融资结算、外汇等金融服务，扩大出口信用保险承保规模和覆盖面，促进跨境电商发展，加强海外仓建设
- **外贸新增长点**：拓展境外经贸合作区功能，支持内外贸一体化发展，推动服务贸易创新发展，培育绿色贸易、数字贸易等新增长点
- **吸引外商投资**：推进服务业扩大开放综合试点示范，扩大电信、医疗、教育等领域开放试点，加强外资企业服务保障
- **自贸试验区建设**：推动自贸试验区提质增效和扩大改革任务授权，持续营造市场化、法治化、国际化一流营商环境
- **共建"一带一路"**：统筹推进重大标志性工程和"小而美"民生项目建设，强化法律、金融、物流等海外综合服务，优化产业链供应链国际合作布局
- **多双边和区域经济合作**：持续扩大面向全球的高标准自由贸易区网络，坚定维护以世界贸易组织为核心的多边贸易体制
## 有效防范化解重点领域风险，牢牢守住不发生系统性风险底线
- **房地产市场止跌回稳**：合理控制新增房地产用地供应，盘活存量用地和商办用房，推进收购存量商品房，有效防范房企债务违约风险，有序搭建相关制度
- **房地产发展新模式**：加快构建房地产发展新模式，推动建设安全、舒适、绿色、智慧的好房子
- **地方政府债务风险化解**：完善和落实一揽子化债方案，优化考核和管控措施，动态调整债务高风险地区名单，做好地方政府隐性债务置换工作
- **政府债务管理**：完善政府债务管理机制，坚决遏制违规举债行为
- **金融领域风险防范**：一体推进地方中小金融机构风险处置和转型发展，综合采取补充资本金、兼并重组、市场退出等方式分类化解风险
- **金融监管体系**：健全金融监管体系，强化央地监管协同，完善应对外部风险冲击预案，有效维护金融安全稳定
## 着力抓好"三农"工作，深入推进乡村全面振兴
- **粮食稳产保供**：稳定粮食播种面积，主攻单产和品质提升，严守耕地红线，高质量推进高标准农田建设
- **种业振兴与农机装备**：深入实施种业振兴行动，加快先进适用农机装备研发应用和农业科技成果大面积推广
- **巩固拓展脱贫攻坚成果**：提高监测帮扶效率，确保不发生规模性返贫致贫，加强易地搬迁后续扶持，分类推进帮扶产业提质增效，加大就业帮扶力度
- **帮扶制度完善**：统筹建立农村防止返贫致贫机制和低收入人口、欠发达地区分类分层帮扶制度，完善过渡期后帮扶政策体系
- **农村改革发展**：有序推进第二轮土地承包到期后再延长30年试点，扩大整省试点范围
- **兴业强县富民**：因地制宜推动兴业强县富民一体发展，拓宽农民增收渠道，持续改善农村基础设施、公共服务和人居环境，建设宜居宜业和美乡村
## 推进新型城镇化和区域协调发展，进一步优化发展空间格局
- **农业转移人口市民化**：科学有序推进农业转移人口市民化，全面推进常住地提供基本公共服务
- **随迁子女与住房保障**：强化随迁子女义务教育保障，推动将符合条件的农业转移人口纳入住房保障体系，畅通参加社会保险渠道
- **城市更新**：持续推进城市更新和城镇老旧小区改造，打造宜居、韧性、智慧城市
- **区域战略实施**：发挥区域协调发展战略、区域重大战略、主体功能区战略的叠加效应，积极培育新的增长极
- **区域产业协作**：支持经济大省挑大梁，鼓励其他地区因地制宜、各展所长，深化东中西、东北地区产业协作
## 协同推进降碳、减污、扩绿、增长，加快经济社会发展全面绿色转型
- **污染防治和生态建设**：持续深入推进蓝天、碧水、净土保卫战，全面推进以国家公园为主体的自然保护地体系建设，实施生物多样性保护重大工程
- **美丽中国先行区建设**：积极推进美丽中国先行区建设，不断满足人民群众对良好生态环境的新期待
- **绿色低碳经济**：深入实施绿色低碳先进技术示范工程，培育绿色建筑等新增长点，有力有效管控高耗能项目，加强废弃物循环利用
- **绿色消费机制**：健全绿色消费激励机制，推动形成绿色低碳生产方式和生活方式
- **碳达峰碳中和**：建立一批零碳园区、零碳工厂，开展碳排放统计核算，建立产品碳足迹管理体系、碳标识认证制度
- **能源与气候治理**：加快建设沙戈荒新能源基地，开展煤电低碳化改造试点示范，积极参与和引领全球环境和气候治理
## 加大保障和改善民生力度，提升社会治理效能
- **稳定和扩大就业**：实施重点领域、重点行业、城乡基层和中小微企业就业支持计划，支持劳动密集型产业吸纳和稳定就业，统筹好新技术应用和岗位转换
- **就业创业服务**：优化就业创业服务，拓宽高校毕业生等青年就业创业渠道，加强灵活就业和新就业形态劳动者权益保障
- **职业技能培训**：开展大规模职业技能提升培训行动，让多劳者多得、技高者多得、创新者多得
- **基本医疗卫生服务**：深化以公益性为导向的公立医院改革，完善薪酬制度，实施医疗卫生强基工程
- **药品集采与医保监管**：优化药品集采政策，强化质量评估和监管；健全药品价格形成机制，支持创新药发展；完善中医药传承创新发展机制；严格医保基金监管，让每一分钱都用于增进人民健康福祉
- **社会保障**：城乡居民基础养老金最低标准再提高20元，适当提高退休人员基本养老金
- **养老服务**：推进社区支持的居家养老，强化失能老年人照护，加大对老年助餐服务、辅助器具购置和租赁支持力度
- **生育支持**：制定促进生育政策，发放育儿补贴，大力发展托幼一体服务
- **社会救助**：完善分层分类社会救助体系，保障困难群众基本生活
- **精神文明建设**：完善培育和践行社会主义核心价值观制度机制，发展哲学社会科学、新闻出版、广播影视、文学艺术和档案事业，推动优质文化资源直达基层
- **全民健身**：推进群众身边的运动场地设施建设，广泛开展全民健身活动，加强青少年科学健身和健康干预
- **国家安全和社会稳定**：全面贯彻总体国家安全观，深入实施安全生产治本攻坚三年行动，抓好校园学生餐、平台外卖安全监管，做好自然灾害防范应对
- **基层治理与法律服务**：推进基层综治中心规范化建设，提升公共法律服务均衡性和可及性，建设更高水平的平安中国
## 政府自身建设与国防外交
- **"十五五"规划编制**：今年将开展"十五五"规划编制工作，科学确定发展目标，谋划好重大战略任务、重大政策举措、重大工程项目
- **法治政府建设**：严格依照宪法法律履职尽责，自觉接受同级人大及其常委会监督、人民政协民主监督、社会和舆论监督，加强审计监督
- **行政效能提升**：把面向基层的督查检查考核减下来，让广大干部把更多时间和精力用到干实事上
- **民族团结与宗教侨务**：以铸牢中华民族共同体意识为主线，推进民族团结进步事业；坚持党的宗教工作基本方针，积极推进我国宗教中国化；完善侨务工作机制
- **国防和军队建设**：贯彻新时代军事战略方针，坚持党对人民军队的绝对领导，全力打好实现建军一百年奋斗目标攻坚战，深入推进练兵备战，协力推进跨军地改革
- **港澳工作**：全面准确、坚定不移贯彻"一国两制"、"港人治港"、"澳人治澳"、高度自治的方针，落实爱国者治港、爱国者治澳原则，支持香港、澳门发展经济、改善民生，更好融入国家发展大局
- **对台工作**：坚持一个中国原则和"九二共识"，坚决反对"台独"分裂和外部势力干涉，推动两岸关系和平发展，完善促进两岸经济文化交流合作机制和政策
- **外交工作**：坚持独立自主的和平外交政策，坚持走和平发展道路，坚定奉行互利共赢的开放战略，推动落实全球发展倡议、全球安全倡议、全球文明倡议，推动构建人类命运共同体</t>
        </is>
      </c>
      <c r="D33" s="10" t="n">
        <v>59.4</v>
      </c>
      <c r="E33" t="inlineStr">
        <is>
          <t>10273/7336</t>
        </is>
      </c>
    </row>
    <row r="34" ht="13.5" customHeight="1" s="9">
      <c r="A34" s="6" t="inlineStr">
        <is>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is>
      </c>
      <c r="B34" s="2" t="inlineStr">
        <is>
          <t>通用纪要</t>
        </is>
      </c>
      <c r="C34" t="inlineStr">
        <is>
          <t># 全文摘要
本次会议为景城苑小区物业招标答疑会，业主代表就改造计划、停车管理、承接查验、安防停车、杂物晾晒等问题向两家投标物业公司（富家物业、知名管理）提问，两家公司分别作答。富家物业预计改造在一年内完成，针对停车乱象先分析原因再制定措施，承接查验提前两周项目负责人入场摸底、提前一周服务人员到位培训，交接不畅时先与现物业私下沟通，必要时在业委会或街道社区许可下采取强制措施；安防改善包括增设人行门禁、升级大堂报到系统、增设隔离墩、建设外围停车场并安装停车管理系统、增设电动车停车场。知名管理成立于2004年，总部在深圳，全国367个项目、127个业委会项目；团队编制16人，薪酬福利高于周边同类项目，一线人员不外包；进场第一个月集中资源进行环境绿化清洁整改，半年内排查设备设施，八个月内保证项目有效运作；包干制下保证财务透明，每季度公示物业管理费和停车费；承接查验前与社区街道派出所沟通，与现物业和业委会明确设备设施和债务债权，增派150%人员；安防措施包括关键岗位用老员工、收集业主车辆信息、制定停车管理方案、升级门禁系统；针对楼层杂物采取宣传引导、联合社区、沟通限期处理、提供临时堆放区，强调疏导而非强制；针对晾晒问题计划设置集中晾晒区，提供免费上门晾晒服务。评标委员会打分后，主持人宣布各公司得分：长沙富佳物业管理有限公司72.91分，湖南恒居恒基居业物业管理有限公司60.73分，重庆新东源新东源物业管理有限公司54.48分，中标候选人为深圳市资平物业发展有限公司。打分环节全程保密，暂停网络直播，录像材料不予公开；总评委打分去掉一个最高分和最低分。
# 分段速览
## 00:00:10-00:09:25 富家物业答疑
业主代表首先提问富家物业若中标后从哪些方面改善小区现状及预计时间，发言人1回应称具体改造项目已在标书117页详细说明，预计改造时间在一年内完成。随后业主代表反映考察中发现卫生室存在车辆停放不规范、电动车乱停现象，发言人1表示应先分析乱停原因，若是停车位不够则增加停车位，若是业主不自觉则派保安、客服人员现场说服劝阻纠正。第三个问题关于承接查验工作，发言人1介绍富家物业有丰富二手小区交接经验，提前两周项目负责人入场摸底，提前一周服务人员到位培训，交接不畅时先与现物业私下沟通，无法解决则请业委会或街道社区组织协调会，仍无法解决则在获得许可下采取强制措施。第四个问题涉及监控门禁失效导致人员车辆随意进出及停车混乱，发言人1提出五项措施：大门口增设人行门禁系统、升级大堂报到系统、增设隔离墩、建设外围停车场并安装停车管理系统、增设电动车停车场。最后一个问题关于类似项目管理经验及满意度与收费率措施，发言人1表示没有与景城苑很相似的小区，处理问题采用四句话：用心倾听、如实记录、马上处理、及时反馈。
## 00:09:36-00:12:22 评标流程说明
业主代表宣布深圳市资平物业发展有限公司代表上场，并说明抢标时间为10分钟，每道题答题时间为3分钟。评标流程为各投标公司依次答辩后由评标委员会打分。
## 00:12:22-00:19:44 知名管理公司介绍与答疑
知名管理发言人介绍公司成立于2004年，总部在深圳，是全国市场化物业公司，无开发背景，目前全国有367个项目，其中127个为业委会项目。公司创始人陈志平先生原为万科物业创始人，曾协同建立中国第一个业委会。公司为中国物业管理协会副会长单位、全国百强企业。针对景城苑项目，公司打造"让一线权利归还业主"理念，确保财务透明和管理透明，包干制下每季度公示物业管理费和停车费。团队编制16人，薪酬福利高于周边同类项目，一线人员不外包。进场第一个月调动湖南战队其他项目资源进行环境绿化清洁全面清扫，半年内调动集团设备公司工程师对设备设施全面排查诊断，八个月内保证项目有效运作。公司导入顾客管理系统集中处理业主投诉咨询报事，形成大数据库管理业主咨询投诉，并针对老龄化开展社区文化活动，每两个月开展一次。
## 00:19:52-00:34:44 知名管理答疑
业主代表提问若知名管理中标后如何改造小区及预计时间，发言人回应经查勘主要存在安全管控、设备设施维护、环境、社区氛围四方面问题，进场第一个月集中资源整改环境绿化，半年内排查设备设施，八个月内达到有序状态，一年内保证小区整体有序。第二个问题关于包干制经验及公益性拓展服务，发言人介绍公司在长沙有11个项目，其中10个为包干制，强调包干制下保证业主知情权、增加与业委会互动、团队直招，管理干部30%来自现有团队、60%左右来自现有物业优秀员工或重新招聘；公益性服务包括居家上门免费服务、家政、24小时业主护送服务等。第三个问题关于承接查验，发言人表示前期准备要充足，与社区街道派出所沟通，与现物业和业委会明确设备设施和债务债权，按专业线分专业组查验，调动集团工程师协助，增派150%人员。第四个问题关于安防停车，发言人提出关键岗位用老员工保证责任心，收集业主车辆信息制定停车管理方案，升级门禁系统识别外来人员，通过技术手段梳理把控监控。第五个问题关于楼层顶层堆放杂物和乱搭乱晒，发言人强调宣传引导、联合社区应急管理部门、上门沟通限期处理、提供临时堆放区，强调疏导而非强制；针对晾晒问题计划设置集中晾晒区，提供免费上门晾晒服务。
## 00:35:00-00:35:28 评标结果公布
业主代表宣布所有答辩结束，评标委员会进行打分，打分环节全程保密，暂停会场网络直播，录像材料不予公开，总评委打分去掉一个最高分和最低分。随后公布各公司得分：长沙富佳物业管理有限公司72.91分，湖南恒居恒基居业物业管理有限公司60.73分，重庆新东源新东源物业管理有限公司54.48分，中标候选人为深圳市资平物业发展有限公司，招标活动圆满结束。
# 要点梳理
## 富家物业答疑
- **改造计划**：富家物业预计改造时间在一年内完成，具体12大改造点已在标书第117页详细说明。
- **停车乱象应对**：先分析乱停原因（场地不足、距离远或不自觉），若车位不足则增加停车位，若业主不自觉则派保安、客服现场说服、劝阻、纠正。
- **承接查验安排**：提前两周项目负责人入场摸底小区现场情况；提前一周服务人员到位并培训公司制度与操作流程。
- **交接不畅应对**：先与现物业私下沟通了解诉求，公司间能解决则解决；无法解决则请业委会或街道社区组织现场协调会；仍无法解决时，在业委会、业主大会及街道社区许可下采取强制措施。
- **安防改善措施**：大门口增设人行门禁系统（支持手机微信、卡、密码进出）；升级大堂报到系统，录入业主车辆信息统一管理，临时车辆由安保登记后放行；地面增设隔离墩禁止公共场所停车，保障消防通道与人行通道畅通；建设外围停车场并安装停车管理系统；小区内增设电动车停车场。
- **业主问题处理原则**：采用「用心倾听、如实记录、马上处理、及时反馈」四句话，处理完成后及时向业主反馈完成时间。
## 知名管理答疑
- **公司背景**：知名管理成立于2004年，总部在深圳，为全市场化物业公司，无开发背景；全国367个项目，其中127个为业委会项目；公司创始人陈志平为万科物业创始人，曾协同建立中国第一个业委会；公司为中国物业管理协会副会长单位、全国百强企业。
- **团队配置**：景城苑项目团队编制16人，薪酬福利保证高于周边同类项目；所有一线人员直招不外包。
- **进场改造计划**：四步举措——第一步「洗理静音」，进场第一个月调动湖南战队其他项目人员资源，对小区环境、绿化、清洁、杂物进行全面清扫；第二步「疏金活选」，调动集团设备公司水电、给排水、电梯、消防工程师对设备设施全面排查诊断，在投资范围内集中改造；第三步「疑难杂症」，涉及消防、渗水等重大事项检查后提供意见，经业委会授权或业主大会招投标；第四步「有效提升」，将总部管理标准与经验延续至本项目，八个月内保证项目有效运作。
- **包干制经验**：长沙11个项目中10个为包干制、1个为酬金制；包干制下保证财务透明，每季度公示物业管理费、停车费；管理透明，业委会授权事项推进业主代表参与公共事务管理；团队30%管理干部从现有人员选拔，60%左右为现有物业优秀员工或重新招聘。
- **公益与增值服务**：长沙项目居家上门服务员工免费，材料费由业主自买或物业代购；开展家政、24小时业主护送服务等有偿与无偿业务。
- **承接查验安排**：前期与社区、街道、派出所沟通；与现物业、业委会明确设备设施、债务债权；按专业线分专业组验收，委派集团工程师协助查出问题；在现有16人团队基础上增派150%人员参与承接查验。
- **安防与停车管理**：门岗、门勤岗、车务等关键岗位用老员工，对来访人员与车辆进行管控、登记、核实后放行；收集小区业主车辆信息，制定整体停车管理方案（含禁区停放、动线规划）；升级门禁系统识别外来人员与业主亲戚来访；通过设备公司技术手段对关键岗位与关键部位监控进行梳理把控。
- **楼层杂物处理**：通过上门宣传、海报、法律知识宣传引起业主重视；与社区、应急管理部门联合行动；逐户沟通说明危害，给予业主处理杂物的时间段；可提供闲置区域供业主临时堆放并限期解决；强调「疏导而非强制」，避免激发矛盾。
- **晾晒问题处理**：计划在小区寻找位置设置集中晾晒区；可提供免费增值服务，太阳大时物业工作人员上门取送晾晒物品（早上拉出、晚上拉回）。
## 结论与决定
- **评标结果**：评标委员会打分后确定中标候选人为深圳市资平物业发展有限公司。
- **各公司得分**：长沙富佳物业管理有限公司72.91分，湖南恒居恒基居业物业管理有限公司60.73分，重庆新东源新东源物业管理有限公司54.48分。
- **打分规则**：总评委打分去掉一个最高分和一个最低分；打分环节全程保密，暂停会场网络直播，录像材料不予公开。
## 待确认与风险
- **停车管理**：小区存在车辆停放不规范、电动车乱停现象，卫生室区域同样存在此类问题。
- **安防隐患**：监控门禁失效导致人员车辆随意进出，小区停车管理混乱。
- **消防通道占用**：消防通道停放车辆较多，含业主车辆及外来车辆。
- **楼层杂物**：楼层顶层存在堆放杂物或乱搭乱晒问题，涉及业主生活与安全影响。</t>
        </is>
      </c>
      <c r="D34" s="10" t="n">
        <v>48</v>
      </c>
      <c r="E34" t="inlineStr">
        <is>
          <t>11743/4252</t>
        </is>
      </c>
    </row>
    <row r="35" ht="13.5" customHeight="1" s="9">
      <c r="A35" s="6" t="inlineStr">
        <is>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is>
      </c>
      <c r="B35" s="2" t="inlineStr">
        <is>
          <t>专题讲座</t>
        </is>
      </c>
      <c r="C35" t="inlineStr">
        <is>
          <t># 讲座概况
本期视频由主讲人李正（B站「正直讲史」）讲述康熙朝文渊阁大学士陈廷敬的一生，形式为历史人物专题讲解。视频旨在澄清影视剧与史实的差异——剧中陈廷敬支持撤藩、招抚台湾、征剿噶尔丹等功绩均非史实，但康熙临终前仍询问大臣中学问人品如陈廷敬者可代理内廷事务者为谁，由此引出其生平。内容按三个阶段展开：妈妈张氏的开蒙、圣祖康熙的讲师、至公无私的落幕。核心主张有三：其一，陈廷敬虽无影视剧中的显赫功绩，却凭清廉正直与恪守初心赢得康熙终身信任；其二，其童年由母亲张氏开蒙，6岁前已背诵《论语》《孟子》《大学》《中庸》《诗经》，天赋与家教奠定一生根基；其三，宦海浮沉50年声名清白，历经张谦案诬陷仍获康熙力挺复出，印证「清者自清」。关键锚点包括：陈廷敬1638年生于山西泽州府阳城县，21岁中进士入翰林，75岁病逝谥号文贞。对听众而言，本讲以具体人物案例展现清代官场生态与个人操守的张力，适合对清史、古代政治人物及廉政主题感兴趣的观众。
# 核心观点与论证
## 母亲张氏开蒙奠定根基
- **开蒙方式**：陈廷敬6岁外出上学前，由母亲张氏口授背诵《论语》《孟子》《大学》《中庸》《诗经》，史载“凡四子书毛诗皆太夫人口授以诵”。
- **母亲背景**：张氏自幼随父张弘毅读书，通晓儒家经典与《资治通鉴》，史载“太夫人少儿颖慧特异……无不背诵通晓大义”；嫁后“于家政稍暇即出书籍……非秉夜不归寝”。
- **鼓励教育**：陈廷敬9岁作《咏牡丹》，其中“要使误接春”一句被母亲赞为“天才”，童年学习大半在母亲关照下展开。
- **科举成绩**：顺治八年（1651年）14岁以全省第一考中秀才；20岁中举人，21岁中进士并入翰林院任庶吉士，同年入选翰林院。
## 御赐改名化解重名风波
- **重名事件**：顺治15年（1658年）四月，山西泽州陈敬与直隶通州陈敬同届中进士入翰林院为庶吉士，因满汉双语文件与考试造成混淆。
- **他人连累**：直隶陈敬因满文考试不及格被顺治点名批评并罚俸一年，原话“陈敬……清书俱未习熟……着各罚俸一年”，因未带籍贯导致风言风语波及陈廷敬。
- **主动改名**：陈廷敬22岁主动上书请更名，史载“庶吉士陈敬奏请更名廷敬，以与直隶庶吉士陈敬同名故也”。
- **御赐之名**：据李光地说，“廷”字为顺治所赐，原话“陈文贞公初名敬，其家廷字文选日张皇帝所赐也”，改名后与顺治拉近关系。
## 康熙讲师与教学风格
- **仕途晋升**：康熙六年（1667年）考察一等称职；两年后32岁升任正六品国子监司业；34岁升从四品翰林院侍讲学士；35岁充日讲起居注官；39岁充经筵讲官。
- **整顿国子监**：陈廷敬任国子监司业时废除学生拜见须带见面礼的不成文规定，史载“凡诸生以至献者悉秉去之”，学生不送礼才愿意见。
- **教学风格**：讲评经史“特别狠辣，对就骂错就骂”，曾指史书痛骂孙权背刺关羽，原话“全其屯权也哉”，康熙欣赏其坚定三观与外放风格。
- **执掌翰林院**：康熙16年（1677年）正月任翰林院掌院学士，教习当届庶吉士。
## 至公无私整顿吏治
- **捐纳考试**：康熙23年（1684年）47岁任左都御史，上奏捐纳买官者正式上岗须追加考试，“文艺略小者给予录用，否则且令异业听其再试”；吏部反对称“以前补用人员从未考试，应不准行”，康熙支持并令各地督抚详查已任命官员，“凡临民之官内有不识字义者，着该督府不时实行查参修治”。
- **全面弹劾**：针对各省督府作风问题、地方政府赈灾懒政问题严查弹劾，并亲自拟定新的赈灾报批流程；两年内连续出任工部、户部、吏部三部尚书，所到之处整顿得罪人。
- **个人立场**：面对“官场里不和光同尘会落满怨”的劝告，陈廷敬表示“我贤与虽折且怨，庸和尚说”，只要人是对的、事是好的，遭受挫折埋怨也无所谓。
## 张谦案与清白复出
- **被诬受贿**：康熙26年（1687年），湖广巡抚张谦（陈廷敬老乡兼亲家）贪污被抓，供称曾贿赂徐乾学、高士奇及陈廷敬，证据是三人曾写信劝其好好当官，被张谦解读为索贿暗示。
- **自辩与辞官**：陈廷敬称“前楚府一案者……积疑成恨，羽射连染”，因对张谦疏远反遭怨恨攀咬；51岁主动上书辞官，康熙准许但留京修书。
- **康熙定调**：康熙传旨主审官马齐“此时需旧款需问，不可蔓延，若蔓延则千累者重”，只处理张谦一人，其余事后密查。
- **清白佐证**：主讲人给出三点理由——据李光地说张谦案从索贿到举报皆徐乾学一手策划；徐乾学贪污事迹多且热衷结党；徐乾学、高士奇后来均因贪污被罢官，唯独陈廷敬康熙29年（1690年）53岁复出再任左都御史，康熙以任命全国最高监察长官宣告其清白。
## 晚年请退与身后哀荣
- **官至大学士**：康熙42年（1703年）66岁升任文渊阁大学士，同时总理南书房事务，是内阁中唯一既管南书房又任经筵讲师的大学士。
- **四次请退**：70岁起连续三年三次申请退休均被康熙拒绝，康熙称“机务重地，良难其人，不必求去”；73岁第四次申请获准。
- **御赐匾联**：康熙赐匾额“午亭山村”和楹联“春归乔木浓阴茂，秋到黄花晚”，并称“自此不与人写字矣”。
- **病逝与厚葬**：康熙49年（1710年）后两年，陈廷敬75岁病逝，谥号文贞；康熙包办治丧费用，从大内取紫砂碗做棺材，命皇三子允祉及大臣侍卫往吊，令各部院满汉大臣往吊。
# 金句总结
&gt; 朕日望大学士病体速愈，在佐朕料理机务几年。若事出意外，大臣中学问人品如大学士可代理内廷事务者为谁？
- 康熙在陈廷敬临终前询问，还有谁可代理内廷事务，足见对其倚重之深。
&gt; 自古未有不晓文艺之人可以为民父母者也，有未经考职遂行捐纳者，于选出之时仍行考试，文艺略小者给予录用，否则且令异业听其再试。
- 陈廷敬任左都御史时上奏，主张捐纳买官者正式上岗前必须追加考试，获康熙支持。
&gt; 臣自念无他才能报塞万一，唯早夜静静私自淬砺，不寻亲党，不阿友朋，上恐负圣主之殊恩，下欲全微臣之孝节。
- 张谦案中被攀咬后，陈廷敬主动上书辞官以证清白。
&gt; 苟正其身矣，于从政乎何有？
- 主讲人引《论语》总结陈廷敬一生：自身品行端正，治理政事便无困难。
&gt; 我贤与虽折且怨，庸和尚说只要人是对的，事是好的，我陈廷敬即便遭受一点挫折和埋怨，你也是无所谓的。
- 有人劝陈廷敬官场应和光同尘时，他回应只要行得端做得正，不怕挫折与埋怨。
# Q&amp;A 环节
未提及</t>
        </is>
      </c>
      <c r="D35" s="10" t="n">
        <v>60.9</v>
      </c>
      <c r="E35" t="inlineStr">
        <is>
          <t>9132/2677</t>
        </is>
      </c>
    </row>
    <row r="36" ht="13.5" customHeight="1" s="9">
      <c r="A36" s="6" t="inlineStr">
        <is>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is>
      </c>
      <c r="B36" s="2" t="inlineStr">
        <is>
          <t>采访记录</t>
        </is>
      </c>
      <c r="C36" t="inlineStr">
        <is>
          <t># 访谈概述
本期《锵锵三人行》围绕刚播完的日剧《大奥》与明朝历史展开，受访者为《明朝那些事》作者当年明月（笔名），与主持人及另一位嘉宾共同探讨中日文化差异与历史认知。访谈主线分两大板块：一是由《大奥》切入日本文化，覆盖该剧反映的日本历史阶段、大奥制度、日本民族精神中的极端精神与忠诚文化、战后经济崛起及中日文化差异；二是转向明史，讨论明史为何吸引人、朱元璋的历史地位、明朝兴亡经验、晚明市民生活及明式家具等话题。受访者核心观点包括：日本文化强调极端精神，做事做到尽头，战后仅用30年成为世界第二经济强国（绝对量而非人均量），是强国中唯一没有资源的国家；中国文化的核心精神是中庸，日本则坚持做到极致，二者差异巨大；历史事件发生时有背景，后人并不比前人聪明，「我们从历史中得到的唯一教训就是我们从来没有从历史中得到过教训」。访谈看点在于当年明月以《大奥》为引，结合其亲历的日本豆腐厂参观（夜里12点整准时开工）等细节，指出日本人的严谨与忠诚文化，并直言正德皇帝「绝不是史料上所写的那么蠢」，认为其被嘉靖朝修史者写坏。
# 访谈详细记录
## 日剧《大奥》与日本文化
- **《大奥》历史阶段**：受访者认为该剧三部曲中，前两部大致对应中国晚清到清初时段，第三部在明治维新之前，是一部有跨越性的历史剧。
- **大奥释义**：受访者指出大奥即普通话所说的后宫，日语中"奥"指很深的地方，即屋子最里处，如"深奥"一词仍保留此痕迹。
- **日本极端精神**：受访者认为从《大奥》可看出日本文化从头到尾未变，其特点是"极端精神"——所有事情要做到尽头，如剧中所有演员达成一致、人人认真，具有专业精神。
- **战后经济奇迹**：受访者认为日本战后用30年成为世界第二经济强国（绝对量而非人均量），不是偶然而是必然，源于全民族极端精神；日本是世界上强国里唯一没有资源的国家。
- **忠诚文化体现**：受访者以剧中阿福为例——25岁进大奥当奶妈，65岁去世，40年无论做什么事不处私心、完全是公心，被伤害的对方都认为他出于公心，这是日本忠诚文化的具体体现。
- **豆腐厂细节**：受访者讲述参观日本最底层豆腐厂的经历——规定当天做当天卖，夜里11:45所有人坐等看表，12点整准时开工，4点多干完上市，无人闲聊胡侃。
- **做绳子的商人**：受访者举例日本做绳子做到全日本第一的人，几年内不赚钱，从批发到送货1分钱不赚，等铺平市场后拿单据要求加2%，全国加起来4%即挣大钱。
- **中日文化差异**：受访者认为中国文化精神是中庸，讲究融合、走最适合的路；日本精神恰恰相反，坚持一个原则做到极致，如炮手忘记一切只记得把炮开出去即达最高境界。
- **终身雇佣制**：受访者指出日本实行终身雇佣制，按经济学原理缺乏竞争应导致低效，但日本终身雇用下效率依然特别高，是经济学上的奇迹。
- **日本生存环境**：受访者认为日本没有资源、常火山地震，人对世界有极强求生欲望或悲观感，必须融入团体按固定规则做事才能生存；受访者认为日本"聪明人"没有生存环境，社会文化抵制非常难过。
- **对死亡的看法**：受访者认为日本人看樱花只看落的那天，因岛国生态环境恶劣，对死亡不是藐视而是有点向往或不惧怕，二战日军在华暴行源于藐视生命；另一受访者不同意，认为日本民族不是藐视生命而是重视，经济危机时很多身家万贯者选择自杀。
- **是否愿做日本人**：受访者表示不愿做日本人，因其很多时候像盲从，且有寻死的潜在欲望；另一受访者认为每个人在自己文化环境里愿意做，但做不成，因为自己的文化不允许这种现象生存。
## 明朝历史与《明朝那些事》
- **写明史的原因**：受访者（当年明月）表示写明朝是因为明史资料最多；历史研究有两个难点，一是先秦（如孙武事迹在史记仅一两篇，多为编撰），二是明清——明史录几千万字、明通鉴、明史记事本末、明会典等堆得比山还高，但一个事件可能有七个不同说法，如同罗生门。
- **明朝的跌宕起伏**：受访者认为明朝260多年过程本身跌宕起伏，几次要死没死，如土木堡之变（皇上被瓦剌军抓走）、夺门之变等，各种"之变"特别多，构成现代版电视剧般离奇情节。
- **推崇朱元璋**：受访者认为朱元璋是历史上唯一由最底层（乞丐）当上皇帝的人，刘邦好歹算村长或乡长；要过饭的人当上皇帝，每一层的猫腻全知道，因此疑心重；明朝规章制度由朱元璋定下，基本无大改动。
- **英雄史观**：受访者认为人的因素最大，改变时势一定出现一个人；朱元璋天分相当高，如同《亮剑》中李云龙没上过军事院校却能打仗，是战场上死死生生积累的经验。
- **朱元璋起义的逼上梁山**：受访者讲述朱元璋原在庙里犹豫是否参加起义军，因信差送信被人听到告发，没办法只能去起义；受访者强调历史最重要的是明白它是发生过的，旁观者觉得好玩，但当事人是掉脑袋的风险。
- **历史经验教训**：受访者认为"我们从历史中得到的唯一教训就是我们从来没有从历史中得到过教训"，因为历史事件发生时有背景，你不比前人聪明，甚至可能比前人笨，那种情况出现时你也得这么办。
- **史书如照片**：受访者比喻史书记载下来的是照片，而古人的生活是录像，你不知道那一幕之前和之后是什么，所以不能套用历史经验教训。
- **晚明市民生活**：受访者认为明末很多真相被掩盖，江南一带市民生活特别轻松，想去哪去哪，皇册都不用，给人当雇工，工商业兴起，三言二拍这类市民小说出现说明有养活自己的资本；李自成起义时陕西一带发生大规模灾荒。
- **明末工艺与艺术**：受访者指出明末工艺品变得非常精细，日本派大量工匠来交流学习；吴门画派文徵明、唐寅等画小桥流水、风雨归舟图，充满欣赏感觉，说明生活好；到八大山人朱耷时画翻白眼，因对社会愤愤不平。
- **明朝灭亡的蹊跷**：受访者提到1644年明朝灭亡那年北京闹瘟疫（疙瘩瘟，可能是天花），李自成打到京城无人抵抗；受访者与老师交流认为明朝亡得真蹊跷，什么坏事都赶上了。
- **王朝300年大限**：受访者认为中国历史王朝300年是大限，逼近300年自己就没了，和人到八九十岁大限快到一样；严格讲超过300年的只有宋朝（南北宋接上，退让大半个国土），汉朝中间隔断14年，唐朝、明朝、清朝都没超过。
- **明朝的趣味**：受访者认为明朝什么都有——宦官专政（魏忠贤）、文官专政（张居正）、皇帝专政（朱元璋），皇帝出去了还能回来、回来了还能做皇帝；吴三桂与满清合作入关，除陈圆圆外还因崇祯死了，当时说法是"入关为崇祯皇帝复仇"。
- **正德皇帝被写坏**：受访者认为正德皇帝（明武宗）被写坏是因为接班的嘉靖不是他儿子而是堂兄弟，嘉靖不能把他写太好；明武宗实录是嘉靖指派杨廷和等人编的，有偏颇；正德从江南回来在通州先停半年，先派人打探京城有没有埋伏，说明他很有城府，绝非史料所写那么蠢。
- **正德与天启轶事**：受访者讲述正德要去江南，大臣跪金水桥前抗议，锦衣卫打死十几个；到扬州要东西不给，让人准备酒席又说吃不了，把酒席折合银两带回去，皇帝打秋风；另一受访者补充天启皇帝爱当木匠，干完活拆大盆去卖，卖完还打听卖得怎么样，成就感特大。
- **明式家具地位**：受访者认为天启当木匠从侧面反映当时社会时尚，家具在每个人心里地位高，明式家具在国际上地位高绝非偶然，"所有的偶然中一定有个必然的因素"。
- **明清审美差异**：受访者认为宋明是典型汉人政权、文人政权，文人审美较高，对美的判断不是表象的；满族是异族，进来后对美的判断都是表象的——今天凡是外在直观能看到的都卖得贵，而晚清到民国初年值钱的一定是素雅的。
# 关键引语与金句
&gt; “慢慢来才是最快的方法。”
- 当年明月在讨论日本文化中“不夹杂私心、按自己本分做事”时引述他人观点，用以说明不偷奸耍滑反而更有效率。
&gt; “我们从历史中得到的唯一教训就是我们从来没有从历史中得到过教训。”
- 当年明月回应主持人关于明朝兴亡经验教训的提问，指出历史事件有特定背景，不能简单套用经验。
&gt; “你要明白你不比前人聪明，你甚至可能比前人笨，就是当那种情况出现的时候，你也得这么办。”
- 当年明月解释为何不能从历史中轻易吸取教训，强调后人常误以为前人愚蠢，实则身处同样情境未必做得更好。
&gt; “史书上记载下来的是什么？照片。而我们实际上生活、古人的生活都是录像。”
- 当年明月说明史书只记录瞬间而缺乏前因后果，导致人们对历史产生误解。
&gt; “一个人到战场上死死生生多少年，没死，最后积累下来经验……我一上战场我就知道，敌人会往哪走，我该怎么打。”
- 当年明月以《亮剑》中李云龙为例，说明朱元璋这类人物靠实战经验而非书本知识成就事业。
&gt; “日本的精神就恰恰相反，他坚持一个原则……当他忘记所有的事情，只记得把这一炮开出去，他就达到了他的最高境界。”
- 当年明月对比中日文化精神，说明日本文化追求极致、专注单一目标。
&gt; “中国的文化精神是中庸……不是对也不是错，不是黑也不是白……而是一条最适合的路。”
- 当年明月以马先生家具店中“硬木刻云彩”为例，阐释中国文化的中庸与融合精神。
&gt; “日本战后用30年的时间成为世界第二经济强国，他不是一个偶然，他是一个必然……他是世界上这个强国里唯一没有资源的国家。”
- 当年明月在讨论日本民族极端精神时，以战后经济崛起为例论证其必然性。</t>
        </is>
      </c>
      <c r="D36" s="10" t="n">
        <v>56</v>
      </c>
      <c r="E36" t="inlineStr">
        <is>
          <t>17496/3875</t>
        </is>
      </c>
    </row>
    <row r="37" ht="13.5" customHeight="1" s="9">
      <c r="A37" s="6" t="inlineStr">
        <is>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is>
      </c>
      <c r="B37" s="2" t="inlineStr">
        <is>
          <t>采访记录</t>
        </is>
      </c>
      <c r="C37" t="inlineStr">
        <is>
          <t># 访谈概述
余华接受访谈，回顾其写作生涯与创作理念。余华是中国当代作家，代表作包括《活着》《兄弟》《第七天》《文城》等。访谈围绕其写作生涯的1.0/2.0/3.0阶段、《兄弟》的创作与批评、对批评的态度与自我调节、中年危机、未来写作计划、对马尔克斯的反思、网络热度及人生感悟等话题展开。余华最核心的观点包括：其一，写作3.0版本（受威廉·福克纳影响，用视觉描写代替心理描写）以后就没再升级，因为写作已成熟；其二，他认为自己40多岁到50岁最好的写作时间浪费了，只出了两部作品，剩下的写作时间可能只有十年左右；其三，他不再追求高度，而是追求宽度，但也不排除最后一部作品创造新高度的可能性。访谈锚点包括《兄弟》（1996年开始创作，2003-2004年重写）、《第七天》及三亚。看点在于余华亲述童年被海流带走的经历，以及他澄清莫言在莎士比亚故居发誓要成为剧作家是「瞎扯」，并透露互联网上关于他说的话有一半不是他说的。
# 访谈详细记录
## 写作生涯的1.0/2.0/3.0阶段
- **1.0阶段**：余华认为文学创作第一个重要时刻是逼自己坐下来写，让屁股和椅子建立友谊；他回忆若没有离开写字桌躺到床上幻想作品多么厉害，可能就不会去写它。
- **2.0阶段**：受卡夫卡启发，写作越写越难，遇到心理表现的障碍；余华认为若写人物内心平静没有意思，内心动荡不安则写1万字也不够。
- **3.0阶段**：受威廉·福克纳影响，采用视觉描写代替心理描写——让心脏停止跳动、让眼睛睁开；他举例《狂人日记》中"赵家的狗看了我一眼"，一下就知道人物精神状态。
- **3.0以后未再升级**：余华认为3.0版本以后就没再升级，因为写作已成熟；《活着》虽可能被视为4.0版，但对他已不是难题，知道写没文化的农民必须用最朴素的语言。
## 《兄弟》的创作与批评
- **创作时间线**：《兄弟》创作始于1996年，因当时中国社会变化复杂而写；2003年和2004年重新拿回来写时，庆幸1996年没有写完，因为从2004年再看，96年时候的变化不算什么，那才是真正大的变化。
- **出版期待与落差**：余华说《兄弟》出版时认为肯定是一片赞扬，带着这样的期待去，结果一片骂声，弄得他有点糊涂；当时互联网已形成浪涛，他努力想把骂声引过来，接受了很多采访去解释作品。
- **《第七天》与《文城》的反响**：到《第七天》出来时余华只接受了一个采访，什么都不做让他们去骂；他提前告诉朋友们要做好思想准备，结果果然一片骂声；《文城》出来时骂声还有但少一点，他调侃"骂人的人也累"。
## 对批评的态度与自我调节
- **对待批评的方式**：余华认为第一就是不要去看，第二有些批评要重视；有些批评没有道理，比如批评宋凡平人物太完美——宋凡平是阶段性出现的人物，只能写他在这个阶段的表现，没有一个从头到尾贯穿的人物才需要写得丰富。
- **有道理的批评**：余华认为"社会底层人也未必都那么善良"这句关于《第七天》的批评说得很好；他解释《第七天》必须把善良在死无葬身之地表现出来，否则没有力量，但写现实生活中的勾心斗角不能太邪恶，这种考虑会在以后写小人物时纳入。
- **互联网上的误传**：余华说互联网上关于他说的话有一半不是他说的，比如"想要命好的"、"精神内耗就是心里的戏太多"都不是他说的。
## 中年危机与自我调节
- **34岁时的感受**：余华在年终总结中写道，一个成年人每到年底都会发现一种虚无；当时感觉生活每天都在呼吸，但人口增加了、孩子来了，空间并没有因此变得宽敞一点。
- **中年危机的本质**：余华认为突然发现没有那么多新的东西，只有写作能够得到一些新的东西，虚构的世界带来新东西，而现实世界每天重复；这是所有人都会遇到的中年危机。
- **自我调节方法**：余华建议面对负面消息太多时可以选择屏蔽不看，因为发生的事情我们无法选择什么让它发生，但可以选择什么让自己知道、什么让自己不知道；哪怕知道可能是真的，也可以选择不看。
## 未来写作计划与对高度和宽度的追求
- **浪费的时间与剩余时间**：余华认为自己40多岁到50岁最好的一段时间浪费掉了，只出了两部作品；他估计能够好好写作的时间可能还有十年左右。
- **未完成的长篇小说**：余华提到2006年开始写的一部长篇小说，时间跨度跟《兄弟》一样，但从个人角度出发，想用接近陀思妥耶夫斯基的激烈方式去写；现在身体状态可能还能维持这种激烈，但那个感觉没了，80年代和90年代的感觉都在远去，很难找回来。
- **写作计划**：余华计划先写完一个喜剧，想改变读者对他的印象，让读者不再觉得这个人那么悲观；他提到开学时去和学生见面，处理学校事务后回到三亚继续写作，安安静静把感觉找回来。
- **从追求高度转向宽度**：余华表示对高度已经不追求了，现在追求宽度；他认为作为作家能走到的高度就是现在的高度，允许自己下滑一下但不要下滑太多，年纪大了知道自己的能力在哪里、还有多少潜力；但也不排除运气来了在最后一部作品上创造新高度的可能性。
## 对马尔克斯的反思与文学理想
- **被马尔克斯误导的一代**：余华认为他们这一代中国作家在很大程度上都被马尔克斯误导，整整一代都想在一本书里写一个世纪的故事，但其实没有必要；托尔斯泰、狄更斯、莎士比亚、巴尔扎克、福楼拜、司汤达、契诃夫都是写自己时代的故事。
- **对马尔克斯的补充看法**：余华认为马尔克斯开创了一个先例，但没有能力在一个不到30万字的小说里面写出一个世界；马尔克斯所写的拉丁美洲世界是最混乱的世界，所以他能够写出来，不是别人都写得出来。
- **莫言在莎士比亚故居发誓是瞎扯**：余华澄清莫言在莎士比亚故居发誓要成为剧作家是瞎扯；莫言小说对话很精彩，20多年前就开始写话剧了，只是写了没拿出来；余华与苏童、莫言三人一起去莎士比亚故居，莫言在挑选帽子，帽子钱还是余华付的，买了三顶一模一样的深蓝色帽子，上面有莎士比亚名字，后来找不着了。
## 对网络热度的看法
- **走红后的冷静期**：余华因互联网走红后停了一年，任何活动、任何采访都不做；当时有节目联系他，他说抱歉，现在在一年的冷静期中间，因为按照过去的经验，只要一年在媒体上消失就马上过去了。
- **自媒体时代的不同**：余华发现自媒体时代不是这样，会把几十年前的事情都翻出来，以前说过的话也给你翻出来；互联网上关于他说的话有一半不是他说的。
- **不担心喜欢会消散**：余华不担心网红热度会消散，因为他的工作不是说话，是写作；可能今天因为一句话突然被人关注，又说错一句引发愤怒，过了十年以后又众人喜欢，但对他来说不说话也挺好。
## 人生感悟与姿态
- **第一次看到大海的感受**：余华童年第一次看到大海时，没有看到过如此宽阔辽阔的景象，感觉到一种宽阔的感觉，所以领悟到人生就是宽广的；小时候的人生感受是向前看的，现在是往后看的，回忆占多了。
- **海流中游泳的经历**：余华讲述小时候每年夏天在海盐游泳，有一天发现自己进入海流，知道不能挣扎只能跟着走，一直到了40里外的平湖乍浦才爬上来，赤脚沿着海边走回来，天快亮了；刚开始紧张害怕以为要死在海里，后来放心，最后被海流带回家，那一刻真的感动了，觉得海浪带我回家了。
- **三亚的星空与月光**：余华说在三亚看到了小时候的天空，因为这地方没有污染；晚上经常和太太走路看天空看月亮，月亮经常出现光晕，通过光晕发现月光是金色的，不是银色的。
- **希望留下的姿态**：余华希望在历史长河中留下的姿态是遗忘的姿态；那些能够勉强被微风吹进耳朵的人，那也是勉强吹进来的，假如历史的长河里有一个主题，这个主题就是一个一个世界、一个一个的人。
# 关键引语与金句
&gt; “假如你不坐下来写写作，你那个躺在床上想我的作品怎么成功，那是没有用的，坐下来让屁股和椅子建立友谊，这是很重要的。”
- 回应文学创作1.0阶段最重要的时刻是什么。
&gt; “当时我觉得我将可能我的目标是对着那个托尔斯泰和陀思妥耶夫斯基去的，现在我知道我离他们的距离是不可逾越的。”
- 谈到年轻时写作的野心与幻想。
&gt; “我已经把那个40多岁到50岁最好的一段时间浪费掉了，就出了两部。”
- 谈到2006年开始写的一部长篇小说因感觉远去而搁置，感慨浪费了最好的写作时间。
&gt; “把悲伤留给虚构，把欢乐留给现实。”
- 谈到自己作品几乎都是悲剧，想先写完一个喜剧改变读者印象。
&gt; “我能够走到的高度已经就是我现在的高度，我能够允许自己下滑一下，但再不要下滑得太多。”
- 谈到不再追求高度，转而追求宽度。
&gt; “我们整整一代中国作家都想在一本书里边写那个一个世纪的故事，但是其实没有必要。”
- 谈到马尔克斯对一代中国作家的影响与反思。
&gt; “现在在互联网上，起码我看到的我看到的啊，关于我的说的话，有一半不是我说的。”
- 谈到自媒体时代被翻出旧事、被安上非本人说过的话。
&gt; “假如那个历史的长河里边有一个主题的话，这个主题就是遗忘的姿态。”
- 回应希望以什么样的姿态留在历史长河中。</t>
        </is>
      </c>
      <c r="D37" s="10" t="n">
        <v>70.8</v>
      </c>
      <c r="E37" t="inlineStr">
        <is>
          <t>11212/3761</t>
        </is>
      </c>
    </row>
    <row r="38" ht="13.5" customHeight="1" s="9">
      <c r="A38" s="6" t="inlineStr">
        <is>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is>
      </c>
      <c r="B38" s="2" t="inlineStr">
        <is>
          <t>专题讲座</t>
        </is>
      </c>
      <c r="C38" t="inlineStr">
        <is>
          <t># 讲座概况
本次讲座为访谈式讲解，主讲人围绕柏林战役展开介绍，涵盖战役背景、双方兵力部署、战役过程、结局及影响，并解答听众关于城市作战、希特勒自杀、英美未攻柏林、影视书籍推荐等问题。战役背景方面，1945年苏军进抵奥德河-尼斯河一线，距柏林60公里；英美联军在易北河，距柏林100-120公里。苏军参战部队为白俄罗斯第一方面军（朱可夫元帅）和乌克兰第一方面军（科涅夫元帅），总计约250万人；德军防守部队包括中央集团军群残部、柏林卫戍部队及国民掷弹兵部队，总兵力约100万人。战役过程：1945年4月16日苏军炮轰德军阵地并越过奥德河、尼斯河；4月20日左右进抵柏林城区（潘科区及帕卡洛镇），4月24日突进市区；4月30日希特勒与妻子爱娃·布劳恩在地堡自杀，尸体被部下焚烧；4月30日夜间苏军占领国会大厦；5月2日柏林德军全部投降，战役结束；5月9日德国宣布无条件投降，二战欧洲部分正式结束。战役影响：奠定了冷战欧洲部分的基调，德国分裂为东西两个德国，边界大致沿罗斯托克到图林根，直至1990年统一；日本于1945年9月2日在密苏里号军舰上签署无条件投降书，二战彻底结束。
# 核心观点与论证
## 战役背景与战略态势
- **战役定位**：柏林战役是第二次世界大战欧洲战场的最后一次大规模战斗，也是苏德战争期间苏联和德国进行的最后一场大规模战役。
- **苏军先机**：1945年苏军已进抵奥德河、尼斯河一线（今德国和波兰边境地区），距离柏林仅60公里；英美联军才到达易北河一带，距离柏林100–120公里，苏联获得先发制人机会。
- **苏军部署**：白俄罗斯第一方面军（指挥官朱可夫元帅）从奥德河—法兰克福方向北部对柏林突击与包围；乌克兰第一方面军（指挥官科涅夫元帅）由克拉科夫及德累斯顿方向前出，从南部绕至波茨坦地区实施西部包围。
- **德军兵力**：防守部队为从东线撤离的中央集团军群残部、柏林卫戍部队及国民掷弹兵部队（由年纪较大的老人和16岁以下孩子组成的民兵），总兵力约100万人，从柏林到桑多梅日桥头堡及奥德河一带布防。
- **苏军兵力**：白俄罗斯第一方面军和乌克兰第一方面军总计约250万人，从北部什切青到南部德累斯顿形成合围网。
## 战役进程与关键节点
- **第一阶段**：1945年4月16日，苏军以数以千计的火炮和卡秋莎火箭炮轰德军阵地，白俄罗斯第一方面军越过奥德河、乌克兰第一方面军越过尼斯河展开突击。
- **推进受阻**：因德军在桑多梅日桥头堡修筑防线，苏军拖至4月20日左右才进抵柏林城区（今柏林潘科区及帕卡洛镇一带），4月24日白俄罗斯第一方面军突进柏林市区，科涅夫部队仍在向柏林边缘靠近。
- **德军抵抗**：德军温克第十二集团军与苏军一直周旋，是战役中表现突出的部队之一。
- **希特勒之死**：4月29日希特勒与情妇爱娃·布劳恩举行婚礼；4月30日，柏林已被苏军围死、苏军距其地堡仅两条街，希特勒不甘被俘，与爱娃·布劳恩一起饮弹自尽。
- **战役结束**：4月30日夜间苏军占领德国国会大厦；5月2日经谈判拉扯，柏林城防司令魏德林宣布柏林其余地区德军向苏军缴械投降，柏林战役结束；5月9日德国宣布无条件投降，二战欧洲部分正式结束。
## 城市作战特点
- **定义与危险**：城市作战中敌人可能从任何方向攻击，坦克和车辆在街道上易受攻击，敌人可从建筑物或其他街道用火箭筒和机枪攻击，非常困难且危险。
## 英美未攻柏林的原因
- **战后协议**：盟国事先已就战后德国地盘划分达成协议，柏林战后属于苏联，但会分出一半区域给西方盟国（即后来的西柏林）。
- **艾森豪威尔考量**：美军统帅艾森豪威尔认为美军攻占柏林会增加不必要伤亡，且占领后仍需撤出，得不偿失。
- **战略取舍**：西方盟军更倾向占领德国精华地带，如慕尼黑、斯图加特、纽伦堡、汉堡、法兰克福等；且打完德国后盟军还有求于苏联协助对日作战。
## 战役细节与影响
- **易北河会师**：西欧部队与东边苏联部队事先没有交流，在易北河会师只是偶然，双方见到对方部队才知道合拢，高层未达成共识。
- **红旗插国会大厦**：著名的「红旗插上国会大厦」照片中，红旗并非标准苏军制式军旗，而是士兵临时用床单和颜料绘制；插旗士兵手上戴有三块从德国老百姓抢来的手表，摄影师为国际观瞻要求重新摆拍。
- **战后格局**：柏林战役奠定了冷战欧洲部分的基调，德国分裂为东西两个德国，边界大致沿罗斯托克到图林根，直至1990年两个德国才统一。
- **二战终结**：日本于1945年9月2日在密苏里号军舰上签署无条件投降书，第二次世界大战彻底结束。
# 金句总结
&gt; 谁要是能占领了柏林，谁在二次世界大战结束之后，可以获得至高无上的一个地位。
- 背景：讲到柏林战役对苏联的战略意义时，强调占领柏林在战后国际格局中的象征性价值。
&gt; 此时对于纳粹德国来说可以说是丧钟敲响的开始。
- 背景：讲到苏军已进抵奥德河—尼斯河一线、距柏林仅60公里时，对德军处境的判断。
&gt; 城市作战……敌人可能从任何方向攻击，坦克和车辆在街道上易受攻击，非常危险。
- 背景：回答主持人关于城市作战与野外作战区别的提问时，用英文简要描述城市作战的危险性。
&gt; 希特勒不甘于在兵败之后被苏联俘虏，所以说他举枪自尽了。
- 背景：回答听众关于希特勒是否自杀的提问时，说明其自杀动机。
&gt; 大部分人都坚信纳粹没有覆灭，还在就是以自欺欺人的方式麻痹自己和苏军进行的就是不同程度的战斗。
- 背景：解释希特勒尸体被焚烧、遗体下落不明导致外界谣言盛行时，指出当时德军内部的自欺欺人心态。
&gt; 与其这样，还不如说是尽可能去占领更多德国的精华地带……柏林就让给苏联吧。
- 背景：回答英美为何不攻打柏林时，转述艾森豪威尔的战略考量——占领柏林得不偿失，不如占领慕尼黑、斯图加特等德国精华地带。
&gt; 那个红旗其实不是一个标准的苏联制式军旗，它是士兵们临时用床单以及颜料临时绘制这么一面旗帜。
- 背景：补充听众提到的易北河会师细节时，说明红旗插上国会大厦著名照片中旗帜的临时制作背景。
&gt; 奠定了冷战欧洲部分的一个基调。
- 背景：回答柏林战役胜利后的世界格局时，指出战役对德国分裂为东西两个德国、冷战欧洲格局形成的深远影响。
# Q&amp;A 环节
**听众**：城市作战跟野外作战有什么明显区别或定义吗？
**主讲人**：城市作战中敌人可能从任何方向攻击你，你的坦克和车辆就在街道上，敌人可以从建筑物或其他街道用火箭筒和机枪攻击你的部队，所以非常困难和危险。
**听众**：是不是这个战役里面希特勒自杀了？
**主讲人**：是的。1945年4月30日，柏林已被苏军围死，苏联红军距离希特勒所在的地堡只有两条街的距离，希特勒不甘于兵败后被苏联俘虏，于是举枪自尽，和他的夫人爱娃·布劳恩一起。
**听众**：希特勒在地堡自杀的细节现在仍有争议，为什么这些细节这么受关注？
**主讲人**：因为他自尽后，部下用汽油把他的尸体焚烧了，到今天为止没有见到他遗体的全貌，只获得一堆烧焦的焦炭，所以外界说法不一，没有确切证据。除了少数亲信外，大部分人坚信纳粹没有覆灭，以自欺欺人的方式麻痹自己继续战斗，各种流传民间的说法褒贬不一，导致谣言盛行。
**听众**：想更详细了解这个战役，有什么影视推荐吗？有拍成影视吗？
**主讲人**：苏联有他拍的《柏林战役》，德国有《帝国的毁灭》。
**听众**：那他们的细节或倾向有什么不同？
**主讲人**：德国角度更多是希特勒最后生平以及他关于柏林防守的人事任命；苏联方面更多强调从高层到基层的各方面描写，高层的运筹帷幄以及基层官兵的舍生忘死。
**听众**：主要进攻柏林的是苏联方面的部队吗？
**主讲人**：是的，同时半数的还有波兰共产党的部队。
**听众**：那为什么英美不打柏林呢？
**主讲人**：丘吉尔当时想抢占柏林，但盟国事先已就战后德国地盘划分达成协议，柏林战后属于苏联，会分出一半区域给西方盟国（即后来的西柏林）。美军统帅艾森豪威尔认为攻占柏林会增加不必要伤亡，且占领后还要撤出，得不偿失，不如尽可能占领德国精华地带，如慕尼黑、斯图加特、纽伦堡、汉堡、法兰克福等。而且打完德国后盟军还有求于苏联一起对日作战。
**听众**：这场战役大概持续了多久？
**主讲人**：从4月16日开始，一直进行到5月2日。
**听众**：有什么书可以看的吗？
**主讲人**：可以看朱可夫自传、崔可夫自传，以及斯大林传记里关于柏林战役后苏俄和西方博弈的内容，涉及西柏林地区划分和德国边境重新划定。
**听众**：当时柏林战役胜利之后，世界形成了怎样的格局？
**主讲人**：奠定了冷战欧洲部分的基调，德国后来分裂成东西两个德国，边界大致沿今天的罗斯托克到南部图林根一带形成，此后一直到1990年两个德国才统一。
**听众**：B站上比较火的鬼畜片段就是这个战役末期发生的吗？
**主讲人**：对，那个希特勒鬼畜片段出自电影《帝国的毁灭》，尤其是他大骂温克丢下柏林逃跑那一段。</t>
        </is>
      </c>
      <c r="D38" s="10" t="n">
        <v>49.1</v>
      </c>
      <c r="E38" t="inlineStr">
        <is>
          <t>4609/3773</t>
        </is>
      </c>
    </row>
    <row r="39" ht="13.5" customHeight="1" s="9">
      <c r="A39" s="6" t="inlineStr">
        <is>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is>
      </c>
      <c r="B39" s="2" t="inlineStr">
        <is>
          <t>通用纪要</t>
        </is>
      </c>
      <c r="C39" t="inlineStr">
        <is>
          <t># 全文摘要
会议为多人自由讨论，共5位发言人参与，围绕社会规则合理性、理想工作形态、AI与机器人未来及语音分离标注测试等话题展开。讨论认为必须买房、结婚等规则不合理，工作应基于兴趣而非与金钱挂钩；理想工作形态方面，有观点认为应让AI承担苦活累活，而非从事创作艺术。关于机器人意识与人类未来，存在机器人可能罢工、反抗并奴役人类的担忧，也有观点认为机器人只需执行命令、不必有思想。会议以分享为主，未形成明确结论。
# 分段速览
## 00:00:02-00:01:40 社会规则合理性讨论
发言人1提出必须买房、必须结婚等社会规则不合理，经济不好时更不可行；发言人2补充必须结婚生子，并认为结婚、买房、升职都取决于遇到的人和自身经济能力，不能说得太绝对；发言人3认为历史对静辉来说都是合理的，并指出人必须工作是合理的。发言人1进一步表示，人不工作不产生财富世界无法运转，工作本身可能合理，但应做自己想做的事，不应与金钱挂钩。
## 00:01:40-00:04:13 理想工作形态与AI替代劳动
发言人2询问大家理想中的工作状态，发言人1表示每天按兴趣干活最好；发言人4提出不干活更好的可能性；发言人3举例宠物博主工作轻松，发宠物视频剪视频即可赚钱，发言人2补充游戏高手也可行。发言人1指出总有些脏活累活没人愿意承担，发言人3认为应让AI做苦活累活而非创作艺术。发言人2引用蔡明小品中机器人反叛情节，讨论机器人替代劳动后人类幸福感是否提升，发言人1认为机器人负责生产、人负责享受虽好但规则难以实现，并提到上层可能不愿让平民过得太好、存在阶级优势。
## 00:04:13-00:08:05 机器人意识与人类未来
发言人5提到扫地机器人未来可发展为在家打扫做饭的机器人，发言人1认为以后养老靠自己。发言人2担忧机器人有独立思想意识后可能罢工、反抗并奴役人类，类似《终结者》剧情；发言人3提到斯皮尔伯格人工智能电影也是类似结局，并认为智能和思想可能无法分开；发言人5认为机器人只需接受命令执行命令，不必有思想，但思想可能带来不良影响。发言人2列举军队单兵装甲外骨骼、智能枪械、排雷机械狗等半机械人应用，并引用游戏《重返德军总部》超级战士和数码宝贝中机械邪龙兽等例子。
## 00:08:05-00:10:56 动漫举例与语音分离测试
发言人2详细讲述数码宝贝中安多路兽被黑色魔轮控制后仍能通过人脸识别判断身份的情节，认为九几年日本人已有此构想，并提到机械邪龙兽是精密超级计算机形成的生命体；发言人4询问具体出处，发言人2确认是第一二部内容。发言人3提醒时间，随后提出测试两人同时说话时的语音分离，发言人1认为标注的人需要认识他们的声音，并认为单人麦克风很强，最后结束会议。
# 要点梳理
## 社会规则合理性讨论
- **发言人1**：必须买房、必须结婚等规则不合理，经济好的时候可以，经济不好的时候不太可以。
- **发言人2**：必须结婚生子也是不合理规则；结婚、买房、升职都取决于遇到什么样的人及自身经济能力，不能说得太绝对。
- **发言人3**：人必须工作是合理的。
- **发言人1**：工作合理，但应做自己想做的，不要与金钱挂钩太紧密。
## 理想工作形态与AI替代劳动
- **发言人2**：询问大家理想状态中的工作是什么样的。
- **发言人1**：理想工作是每天起来想干啥就干啥，按自己兴趣干活。
- **发言人4**：提出有没有可能不干活更好。
- **发言人3**：举例宠物博主工作好，每天发宠物日常、剪剪视频就能赚钱。
- **发言人2**：补充游戏高手也是理想工作。
- **发言人1**：指出总有些脏活累活大家都不想干，没人承担。
- **发言人2**：提出以后机器人问世可以承担苦活累活。
- **发言人3**：认为应让AI做苦活累活，而不是让它搞创作、艺术。
- **发言人2**：引用蔡明小品情节——机器人被敲脑袋后反叛，把牛皮制品手表和皮鞋煮成牛肉汤。
- **发言人1**：认为机器人负责生产、人负责享受挺好，但质疑这种规则能否实现。
- **发言人2**：认为AI普及并普惠到实体后，若机器人有了自己的思维，只要人类控制得当，人类或可不用干苦活累活。
- **发言人1**：认为上层的人不想让平民过得太好，要保持对普通民众的优势，存在阶级问题。
## 机器人意识与人类未来
- **发言人2**：担忧机器人有独立思想意识后不受人类控制、搞罢工、反向控制人类，类似《终结者》剧情，人类成为机器人奴隶。
- **发言人3**：提到斯皮尔伯格《人工智能》电影也是类似结局；认为机器人会不会把自己当成被压迫对象是哲学问题。
- **发言人5**：认为机器人只要能接受到命令、执行命令就行，不必有思想。
- **发言人3**：认为机器人得有智能，但智能和思想可能没法分开。
- **发言人5**：指出思想可能带来不好影响，如让它往前走它去前面打了人。
- **发言人2**：认为机器人可能成为犯罪代理人、职业杀手或超级战士，独立意识群体罢工后反抗人类，后果灾难性。
- **发言人2**：列举军队已有单兵装甲外骨骼、智能枪械、智能火箭发射器等半机械人状态，排雷机械狗和机械车已在用。
- **发言人2**：举例游戏《重返德军总部》超级战士、数码宝贝中守卫兽和机械装甲兽进化成安多路兽、机械邪龙兽（精密机械式超级计算机形成生命体，专为破坏而存在）。
- **发言人2**：提到数码宝贝第二部第七集安多路兽被黑色魔轮控制后仍能通过人脸识别判断人，主角嘉儿通过记忆唤醒其最终记忆，称该集让自己最早有了人脸识别和人工智能识别的概念。
## 语音分离标注测试
- **发言人3**：提出测试两人同时说话时的语音分离。
- **发言人1**：认为标注的人需要认识他们的声音；认为单人的麦很强，应该能分离单人声音。
- **发言人5**：提及身高比较（语音识别相关讨论，原文表述不完整）。
- **发言人3**：宣布会议结束。</t>
        </is>
      </c>
      <c r="D39" s="10" t="n">
        <v>37.3</v>
      </c>
      <c r="E39" t="inlineStr">
        <is>
          <t>3931/2477</t>
        </is>
      </c>
    </row>
    <row r="40" ht="13.5" customHeight="1" s="9">
      <c r="A40" s="6" t="inlineStr">
        <is>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is>
      </c>
      <c r="B40" s="2" t="inlineStr">
        <is>
          <t>通用纪要</t>
        </is>
      </c>
      <c r="C40" t="inlineStr">
        <is>
          <t># 全文摘要
会议为两人参与的闲聊式讨论，由发言人1主导、发言人2补充提问，围绕哥斯拉系列电影剧情展开，并延伸至核废水排放的现实影响。讨论覆盖哥斯拉系列历史与日美版本剧情、角色设定、核废水主题及切尔诺贝利事件对比等板块。哥斯拉首部电影诞生于1954年，起源为海底生物吸食核废料后变异，在日本神话中是大自然的守护神；美国版《哥斯拉大战金刚》中机械基多拉最终被金刚和哥斯拉联手击败，日本版《新哥斯拉》（2016年）中哥斯拉被无人机投放炸弹耗尽能量后以冷冻剂封印。讨论以分享为主，未形成明确结论。
# 分段速览
## 00:00:00-00:09:48 哥斯拉系列电影剧情讨论
发言人1开场介绍哥斯拉系列电影背景，指出首部电影诞生于1954年，迄今约70多年，日美两国翻拍多个版本。哥斯拉起源为海底生物吸食核废料后变异，在日本神话中是大自然的守护神，因人类频繁核试验破坏生态而报复人类。发言人1梳理美国版剧情线：2014年新版中哥斯拉与人类携手团灭以核废料为能源的雾托物种；第二部《怪兽之王》中人类核试验唤醒沉睡怪兽，基多拉降临，人类试图用水下爆炸让哥斯拉窒息，反被基多拉干扰，最终人类用核废料唤醒哥斯拉击败基多拉；第三部《哥斯拉大战金刚》中反派残余势力将基多拉残骸加装机械装甲制成机械基多拉，金刚与哥斯拉联手将其击败。发言人1还介绍日本版剧情，包括2016年《新哥斯拉》中哥斯拉吸收核废料不断升级，最终被无人机投放炸弹耗尽能量、以冷冻剂封印，以及2004年《哥斯拉最后的战斗》有章子怡参演。讨论中提及哥斯拉与奥特曼同属圆谷英二作品但为不同时间线，哥斯拉为地球本土物种，奥特曼来自奥特之星。
## 00:09:48-00:15:17 核废水排放的现实影响与切尔诺贝利对比
讨论由哥斯拉的核废水主题延伸至现实核废水排放问题。发言人2提到在日本留学期间，因日本开始排放核废水，购买中国进口的鱼，并指出日本产品因国产标签而价格昂贵。发言人1表示即使不吃海产品，日常饮水也可能受影响，并询问核废水对身体的伤害，但未获明确回答。发言人1指出目前未出现类似哥斯拉的变异案例，但存在白血病等病变，切尔诺贝利地区生物出现畸形但未变强。发言人1对比切尔诺贝利事件，指出核反应堆已被水泥封存，周边成为无人区，认为比日本排放核废水更负责任。发言人2提及《使命召唤4》游戏中切尔诺贝利关卡，车臣叛军试图挖掘核废料，被英国SAS特种部队主角狙杀未遂。
# 要点梳理
## 哥斯拉系列电影剧情讨论
- **首部电影**：1954年诞生，迄今约70多年，日美翻拍多个版本。
- **哥斯拉起源**：海底生物吸食核废料、核废水后变异成庞然大物，对人类世界展开报复和攻击。
- **神话定位**：在日本神话中是大自然的守护神，攻击人类源于人类无限制搞核试验、破坏自然生态。
- **扩展题材**：人类频繁战争和核试验唤醒沉睡生物、招致外星生物入侵；也有哥斯拉作为守护神与人类携手打败其他怪兽和外星生物的设定。
- **《哥斯拉怪兽之王》**：反派基多拉为外星生物，是龙头老大角色。
- **《哥斯拉大战金刚》**：基多拉被哥斯拉打败后，人类反派势力将基多拉仅存的一个脑袋加装机械装甲复合升级为机械基多拉，差点打败哥斯拉；金刚挺身而出，与哥斯拉不计前嫌联手击败机械基多拉，战斗地点在香港九龙。
- **摩斯拉**：日本神话中的蝴蝶，负责给哥斯拉疗伤。
- **哥斯拉正反派形象**：既有作为反派出现的印象，也有作为正面形象出现的情况；基多拉降临地球时哥斯拉与人类携手对抗。
- **2004年日本电影《哥斯拉最后的战斗》**：有中国演员章子怡参演。
- **续集机制**：哥斯拉每次都没被真正杀死消灭，重新沉睡后形成不同版本的续集。
- **金刚与哥斯拉冲突起因**：金刚领地为热带雨林，哥斯拉领地为海洋，海洋淹没热带雨林后双方因地盘起冲突。
- **美国版2014年第一部**：另外两个物种（蝙蝠类）以核弹、核废料为能源食物，哥斯拉为维护地球安全与人类携手团灭该物种（名为雾托）。
- **美国版第二部**：人类频繁核武器实验唤醒全球沉睡怪兽，基多拉降临地球；人类试图用水下子母弹和核试验方式让哥斯拉在水里窒息死亡，但基多拉为外星物种、武器对其无效，哥斯拉差点被溺死；人类重新喂核废料、核武器实爆唤醒哥斯拉打败基多拉。
- **福原博士**：曾表示不能用核办法对付基多拉，因基多拉是外星生物；人类差点成猪队友，基多拉没事、哥斯拉差点被误杀。
- **日本版剧情**：最早哥斯拉作为怪兽出场；翻拍剧情与美国版类似，但人类反派做成外星人形象，外星人控制基多拉和其他怪兽，哥斯拉因基因不同反杀外星人控制的怪兽、解放地球。
- **《新哥斯拉》（2016年日本版）**：海里蜥蜴类生物喝核废水后不断壮大，吸收核废料后升级变大；人类各种武器攻击不仅无效反而增强其战斗力和战斗形态；最终以无人机投放炸弹耗尽能量，再用冷冻剂封印。
- **哥斯拉与奥特曼关系**：导演最早都是圆谷英二，但属于不同时间线——哥斯拉是地球本土物种，奥特曼来自奥特之星；两者都是正面形象，未直接战斗过。
- **拉顿**：会飞的翼龙/鸟，在奥特曼和哥斯拉不同作品中分别与正派形象战斗过。
- **哥斯拉系列作品清单**：哥斯拉大战人类、哥斯拉大战机械哥斯拉、哥斯拉大战基多拉、哥斯拉最后的战斗、新哥斯拉、2014年新版本哥斯拉的复活、哥斯拉怪兽之王、哥斯拉大战金刚。
- **题材延续原因**：只要日本不停止排放核废水行为，此类题材不会停。
## 核废水排放的现实影响与切尔诺贝利对比
- **日本核废水排放**：发言人1指出万一有病变生物变异说不清楚；此前不让进口日本产品，现已放开。
- **发言人2留学经历**：在日本留学期间日本开始排放核废水，当时吃的鱼都买国内（中国）进口的。
- **健康影响**：发言人1表示喝了核废水对身体损耗的伤害没人说得准，目前没看到变异案例，但肯定有得各种白血病等病变；不会像哥斯拉那样喝了核废料马上变异成庞然大物。
- **日本国产产品价格**：发言人2称日本有迷之民族自信，产品打上国产标签就非常贵，虽然东西并不怎么样。
- **切尔诺贝利事件**：核反应堆被水泥盖住封存，普里皮亚季和切尔诺贝利被称为鬼城，方圆百里是无人区；发言人1认为相比日本，切尔诺贝利至少拦截封存了，比日本核废水处理更负责任。
- **切尔诺贝利生物变异**：有生物长得奇怪、变畸形，但没说变强。
- **相关文艺作品**：有电视剧、电影和游戏涉及切尔诺贝利；《使命召唤4》双狙人关卡中，车臣派军去切尔诺贝利挖核废料，被英国SAS特种部队主角狙杀，未狙杀成功、打断一条胳膊。</t>
        </is>
      </c>
      <c r="D40" s="10" t="n">
        <v>36.2</v>
      </c>
      <c r="E40" t="inlineStr">
        <is>
          <t>5319/2763</t>
        </is>
      </c>
    </row>
    <row r="41" ht="13.5" customHeight="1" s="9">
      <c r="A41" s="6" t="inlineStr">
        <is>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is>
      </c>
      <c r="B41" s="2" t="inlineStr">
        <is>
          <t>小组讨论</t>
        </is>
      </c>
      <c r="C41" t="inlineStr">
        <is>
          <t># 讨论议题与背景
本次会议为6位成员（发言人1至发言人6）围绕“18岁以前的深刻印象和记忆”展开的分享型讨论，由发言人1发起，引导大家回忆逃课、网吧游戏、追星、乐队等经历。成员依次分享了初中走读时每周一下午4点放学后聚集游戏厅网吧的经历，高中因高考压力不敢逃课转而追星、搞乐队，以及各自喜爱的小说、漫画、杂志与电脑游戏。议题范围涵盖逃课与游戏经历、小说漫画与杂志、电脑游戏与游戏鄙视链、第一人称射击游戏与暴力内容、求生之路与生化危机等游戏剧情、游戏与电影的关系、塔防游戏与使命召唤等。讨论以分享观点为主，未形成统一结论，整体按话题自然流转、漫谈发散推进，由发言人1多次引导转向新议题。
# 发言要点
## 18岁前的逃课与游戏经历
- **发言人1**：初中走读，每周一下午4点放学后去游戏厅、网吧，流行玩穿越火线（CF）、反恐精英online（CS online）、使命召唤、战地、魔兽等游戏。
- **发言人1**：高中因高考压力不敢逃课，主要追星和搞乐队，喜欢朋克金属音乐，涉及架子鼓、电吉他、贝斯。
- **发言人2**：18岁之前没逃过课，大学后逃过一次课。
- **发言人3**：逃课是正常现象。
- **发言人4**：上大学后就不算了。
## 小说、漫画与杂志
- **发言人5**：特别喜欢郭敬明的小说。
- **发言人2**：看郭敬明小说觉得难受、扭曲，提到《梦里花落知多少》。
- **发言人4**：班上特别流行看柯南。
- **发言人1**：流行看名侦探柯南和香港漫画《老夫子》。
- **发言人5**：提到《萌化三国》。
- **发言人2**：提到《意林》《读者》《故事会》等杂志，称《意林》当时讲得好，现在反转了。
## 电脑游戏与游戏鄙视链
- **发言人4**：提到摩尔庄园、赛尔号。
- **发言人2**：提到穿越火线、地下城与勇士。
- **发言人1**：初中流行单机游戏求生之路，联机局域玩。
- **发言人5**：玩过仙剑四，也玩过仙剑或古剑系列。
- **发言人2**：初中玩魔兽争霸（单机），与魔兽世界（网游）有区别。
- **发言人5**：提到英雄联盟、DOTA、王者荣耀，并问是否有鄙视链。
- **发言人2**：认为王者荣耀在鄙视链最低端。
## 第一人称射击游戏与暴力内容
- **发言人1**：因在贴吧和QQ空间写文章骂穿越火线，被穿越火线平台封禁，后成为CS反恐精英铁杆粉丝。
- **发言人1**：喜欢CS僵尸模式，被舞蹈队说跳舞姿势像舞体僵尸。
- **发言人5**：质疑游戏暴力且无年龄限制，称感觉是姑父、叔叔那辈人玩的游戏。
- **发言人1**：求生之路第二部血腥暴力，能用东洋刀、电锯、砍刀砍丧尸群，砍飞脑袋四肢、血喷一脸，因此Steam要求18岁以上才能注册账号。
- **发言人2**：称穿越火线现在看起来像像素游戏。
## 求生之路与生化危机等游戏剧情
- **发言人1**：认为求生之路制作团队精准预测美国政府在大灾难中的表现，2020年新冠疫情爆发后游戏重新火爆。
- **发言人1**：讲述求生之路剧情：美国政府默不作声导致病毒失控，军队暴力清理但被感染，主角团不信政府承诺、自己拿起枪自救。
- **发言人1**：主角团是无症状感染者，从僵尸角度看是异类；病毒类似狂犬病的狂暴病毒感染。
- **发言人2**：欧美玩家爱玩打僵尸游戏，模式一上线欧洲玩家疯狂在线。
- **发言人1**：生化危机也是病毒泄露、政府反应迟钝不作为，生化三用核武器把整个城市夷平。
- **发言人2**：生化危机不敢玩，挺恐怖。
- **发言人5**：过年与表姐表弟看恐怖片，大家都跑了。
## 游戏与电影的关系
- **发言人2**：问游戏和电影谁先谁后。
- **发言人1**：生化危机先有游戏后有电影；求生之路是在惊变48小时、生化危机基础上，先有电影后有的游戏。
- **发言人4**：问变形金刚先有玩具还是电影。
- **发言人1**：变形金刚先有玩具，绿日乐队（Green Day）出过介绍变形金刚的MV。
## 塔防游戏与使命召唤
- **发言人3**：小时候常玩塔防游戏，如植物大战僵尸，现在还在玩。
- **发言人2**：植物大战僵尸有特别变态的版本，后期满屏子弹，电脑都卡得扛不住。
- **发言人1**：使命召唤黑色行动基于冷战时期美苏真实历史；现代战争虚构，后期剧情美国挑衅俄罗斯、俄罗斯反杀到美国本土，结合当前俄军在乌克兰表现，有点高估俄罗斯。
- **发言人2**：称使命召唤这类游戏太男性化。
# 共识形成
- **一致意见**：与会者普遍认同18岁前逃课、网吧游戏、追星、看小说漫画等是共同的时代记忆；对游戏与电影关系形成共识——**生化危机先有游戏后有电影**，求生之路是在《惊变48小时》《生化危机》基础上先有电影后有的游戏，变形金刚先有玩具。
- **倾向性认识**：多数人认为游戏存在鄙视链，发言人2认为王者荣耀处于鄙视链最低端；发言人1认为《求生之路》制作团队精准预测了美国政府在大灾难中的表现，2020年新冠疫情后该游戏重新火爆。
- **主要分歧点**：发言人1与发言人5在游戏暴力与年龄限制问题上看法不一致——发言人5质疑此类游戏暴力且无年龄限制，发言人1解释《求生之路》第二部血腥暴力，导致Steam要求18岁以上才能注册账号；发言人2认为《使命召唤》等游戏太男性化，发言人1则详细介绍其剧情设定。
# 待探讨问题与后续
- **未确认**：发言人5质疑穿越火线、求生之路等游戏暴力且无年龄限制，发言人1解释求生之路第二部因血腥暴力导致Steam要求18岁以上才能注册账号，但未确认该年龄限制的具体实施时间与执行方式。
- **未确认**：发言人2提到《意林》内容「现在怎么都反转了」，未展开具体指哪些内容反转，话题被搁置。
- **未确认**：发言人5提到《萌化三国》，未说明其内容或来源，其他成员未回应。
- **未确认**：发言人1提到自己因在贴吧和QQ空间写文章骂穿越火线被平台封禁，未说明封禁的具体时间、平台规则依据及封禁时长。
- **未确认**：发言人1认为《求生之路》制作团队精准预测美国政府在大灾难中的表现，2020年新冠疫情后游戏重新火爆，该判断属个人观点，未获其他成员验证或讨论。
- **未确认**：发言人1提到《使命召唤：现代战争》后期剧情「高估俄罗斯」，结合当前俄乌冲突表现，未展开具体剧情对照分析。
- **未确认**：发言人2提到植物大战僵尸有「特别变态的版」，后期满屏子弹导致电脑卡顿，未说明该版本名称或获取渠道。
- **未确认**：发言人4提到班上流行看「柯洁男」，发言人1纠正为《名侦探柯南》，未确认该口误是否影响后续讨论。
- **未确认**：发言人1提到《变形金刚》「有点抄袭小日本的当时的一些个题材」，未展开具体抄袭对象或依据。
- **未确认**：发言人2提到欧美玩家「整个欧洲年轻人都在打僵尸」，未提供数据来源或具体游戏名称。</t>
        </is>
      </c>
      <c r="D41" s="10" t="n">
        <v>54.3</v>
      </c>
      <c r="E41" t="inlineStr">
        <is>
          <t>6453/2902</t>
        </is>
      </c>
    </row>
    <row r="42" ht="13.5" customHeight="1" s="9">
      <c r="A42" s="6" t="inlineStr">
        <is>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is>
      </c>
      <c r="B42" s="2" t="inlineStr">
        <is>
          <t>小组讨论</t>
        </is>
      </c>
      <c r="C42" t="inlineStr">
        <is>
          <t># 讨论议题与背景
本次会议为一场围绕《红楼梦》《金瓶梅》《水浒传》《西游记》等古典小说的自由讨论，由发言人1、发言人2、发言人3、发言人4四人参与，以漫谈分享为主，未形成统一结论。讨论由发言人1提议继续此前未完成的《红楼梦》话题开场，随后自然延伸至《金瓶梅》与《水浒传》的对比、《西游记》中佛教虚伪的描写，以及各书历史背景的辨析。议题范围涵盖《红楼梦》的官场暗线与四大家族兴衰、薛宝钗结局版本争议、冷香丸与吃螃蟹等生活细节描写；《金瓶梅》中武松报仇未成与西门庆的逃脱、西门庆妻妾群像及小人物发展史主题；《西游记》中如来佛祖收300两黄金、寺院住持贪袈裟自焚等情节；以及《红楼梦》无明确朝代、映射曹雪芹经历、《金瓶梅》与《水浒传》同属北宋时期等历史背景问题。讨论整体呈漫谈发散式推进，各议题间自然过渡，发言人多以补充细节、提出疑问或分享印象的方式参与，未就任何议题达成明确结论。
# 发言要点
## 《红楼梦》讨论
- **发言人3**：《红楼梦》有一条官场暗线，即朝堂政权变化；四大家族兴衰与官场地位相关，王熙凤前期地位高、结局惨，与其兄长的官场地位及先死直接相关。
- **发言人4**：质疑四大家族「感觉就没几个人」，每家就两家人多一点，王熙凤家、史家、薛宝钗家都只见典型人物，看不出「很牛逼」的家族规模。
- **发言人1**：背诵四大家族诗句——「贾不假，白玉为堂金作马；阿房宫三百里，住不下金陵一个史；东海缺少白玉床，龙王来请金陵王；丰年好大雪，珍珠如土金如铁」。
- **发言人3**：四大家族整体都在走下坡路，对应王朝家族的衰败。
- **发言人4**：小时候看《红楼梦》没看明白，但对吃螃蟹的讲究印象深刻——江南吃螃蟹要卸钳、卸身，第一次知道吃螃蟹需要这么多工具。
- **发言人3**：冷香丸的配方讲究节气——要雨水那一日的雨水、小雪那一日的雪，每个节气都要正好碰上；花要用春天的白牡丹、夏天的白荷花、秋天的白芙蓉、冬天的白梅花。
- **发言人3**：薛宝钗结局有版本争议——120回版本中她嫁给贾宝玉，但贾宝玉不久出家，好多人说是无性婚姻；另看过的版本说她后来怀了一个孩子。
- **发言人2**：追问「那是贾宝玉的还是」；**发言人3**回应那是狗血版本；**发言人1**认为「这个应该不至于弄这么狗血」。
- **发言人4**：《红楼梦》很明显在映射当时时代，有说法称演的是曹雪芹的经历——他以前好像是个大家族。
- **发言人3**：要不然他写不出那么多细节。
- **发言人1**：《红楼梦》当时是禁书，已经不敢写明朝代，说朝代更禁。
## 《金瓶梅》与《水浒传》讨论
- **发言人1**：金瓶梅从武松杀武大郎之后开始写；武松去找西门庆报仇时，西门庆在楼上喝茶，仆人报信后从楼上翻下去逃脱——原水浒传里没有翻下去、直接砍头，金瓶梅里翻下去就给了他一线生机。
- **发言人1**：之后武松怎么都报不了仇，被发配，故事转向西门庆线；武松报仇被高官、大家族权势打压下来，所以很真实。
- **发言人3**：金瓶梅是西门庆这个小人物的发展史，写他一个无赖如何爬到比较高、过得比较舒服，官场如何黑。
- **发言人2**：询问西门庆后来和宋江等人有没有交集；**发言人3**认为应该不会写，但丞相是同一个。
- **发言人4**：西门庆最后跟童贯还是谁，跟中央攀上线，当地一霸。
- **发言人2**：询问西门庆结局在两个版本中的差异——水浒里脑袋被砍下来；**发言人3**回应金瓶梅版本里西门庆是纵欲过度死。
- **发言人3**：西门庆有十个老婆，有的老婆特别懦弱，潘金莲属于很有心机、比较强势的那一种。
- **发言人3**：西门庆一个老婆生病后去看和尚、不去治病，信迷信回来死了；金瓶梅里佛教也很黑，收灯油钱。
- **发言人4**：金瓶梅比红楼梦接地气一点，也能学到东西。
## 《西游记》及其他讨论
- **发言人1**：西游记里如来佛祖说「区区收了300两黄金」——天庭派人帮一个国家，帮完回来如来嫌收得少。
- **发言人2**：西游记里佛教虚伪的例子——孙悟空和唐僧单独取经时寄宿寺院，住持有很多袈裟，觊觎唐僧袈裟，后来引火把自己烧死了。
- **发言人3**：红楼梦没有明确朝代，是一个写得很虚的故事；作者是那个时代的人，映射那个时代。
- **发言人2**：水浒和金瓶梅是北宋时期，与红楼梦不同；三国、水浒都有明确历史人物和时间线，与真实事件大致相同。
- **发言人2**：提到孙权二宫之争——太子孙登、鲁王孙霸之争，不同大臣支持不同儿子；孙权老婆王夫人有心机，和女儿孙鲁班一起反杀，把东吴政局搅得一团糟。
# 共识形成
- **一致意见**：与会者普遍认可《红楼梦》存在官场暗线，四大家族兴衰与官场地位相关，如王熙凤地位与其兄长官场地位相关；同时认可《金瓶梅》是西门庆这个小人物的发展史，武松报仇未成、被权势打压是故事转向西门庆的关键节点。
- **倾向性认识**：多数人倾向认为《红楼梦》映射当时时代，有说法称是曹雪芹个人经历，发言人3补充「要不然他写不出来那个那么多的细节」；发言人1提到《红楼梦》当时是禁书，不敢写明朝代。
- **主要分歧点**：发言人4质疑四大家族人数少，「每家就两家人多一点」，与诗句中「都很牛逼」的形容不符，发言人3未直接回应人数问题，仅以「整体都在走一个下坡路」解释；关于薛宝钗结局，发言人3提到120回版本中她嫁给贾宝玉但贾宝玉出家，有说法称无性婚姻，另有版本称她后来怀孕，发言人1认为「这个应该不至于弄这么狗血」。
- **关键口径**：发言人1背诵四大家族诗句「贾不假，白玉为堂金作马；阿房宫三百里，住不下金陵一个史；东海缺少白玉床，龙王来请金陵王；丰年好大雪，珍珠如土金如铁」；发言人1提到《西游记》中如来佛祖说「区区收了300两黄金」。
# 待探讨问题与后续
- **未确认**：《红楼梦》中四大家族是否真的只有少数人，发言人4质疑每家仅两家人多一点，发言人3回应称可能是没看书，书里人可能不少。
- **未定论**：《金瓶梅》中西门庆的结局在不同版本中是否不同，发言人2询问水浒版与金瓶梅版结局差异，发言人3称金瓶梅版中西门庆是纵欲过度而死，水浒版中则是被武松砍头。
- **未确认**：《红楼梦》是否映射曹雪芹个人经历，发言人4提到有这种说法，发言人3认为若非亲身经历写不出那么多细节。
- **待核实**：《金瓶梅》中武松报仇线是否成功，发言人1讲述武松报仇被高官权势打压、被发配，发言人4询问武松报仇线是否存在，发言人3确认有报仇线但未成功。
- **未确认**：《金瓶梅》中潘金莲在西门庆妻妾中的地位，发言人3称西门庆有约十个老婆，潘金莲属于有心机、强势的类型，发言人4询问潘金莲是否属于强势类型，发言人3表示印象中如此。
- **待核实**：《金瓶梅》中西门庆一个老婆因迷信和尚而病死的情节，发言人3提及该细节，发言人4表示细节记不清。
- **未确认**：《西游记》中如来佛祖收300两黄金的章节出处，发言人1提及该情节但忘记具体章节，发言人2询问后未得到明确答复。
- **待核实**：《西游记》中寺院住持贪唐僧袈裟引火自焚的情节，发言人2提及但表示记不清细节，发言人3推测可能看的是电视剧版本。
- **未确认**：《红楼梦》中薛宝钗的结局版本，发言人3提到120回版本中她嫁给贾宝玉但贾宝玉出家，有说法称无性婚姻，另有版本称她后来怀孕，发言人2询问孩子是否为贾宝玉的，发言人3称那是狗血版本。
- **未定论**：《金瓶梅》与《水浒传》的关系，发言人2询问西门庆与宋江是否有交集，发言人3认为应该不会写但丞相是同一个；发言人2询问宋江起义是否成功，未获明确回答。
- **未确认**：《红楼梦》的历史背景，发言人3称其没有明确朝代、是虚构故事，发言人4认为作者是那个时代的人、映射当时时代，发言人1提到《红楼梦》当时是禁书、不敢写明朝代。
- **待核实**：东吴二宫之争中王夫人与孙鲁班搅乱政局的说法，发言人2提及该历史事件并询问大家了解程度，未获回应。</t>
        </is>
      </c>
      <c r="D42" s="10" t="n">
        <v>45.2</v>
      </c>
      <c r="E42" t="inlineStr">
        <is>
          <t>5893/3343</t>
        </is>
      </c>
    </row>
    <row r="43" ht="13.5" customHeight="1" s="9">
      <c r="A43" s="6" t="inlineStr">
        <is>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is>
      </c>
      <c r="B43" s="2" t="inlineStr">
        <is>
          <t>通用纪要</t>
        </is>
      </c>
      <c r="C43" t="inlineStr">
        <is>
          <t># 全文摘要
会议为多人自由闲聊，参与者共六位发言人，未明确机构与主办方。前半段围绕个人阅读与综艺观看展开，发言人1提到反复阅读《红楼梦》多次，发言人2与发言人4表示不怎么看小说、更常看短剧和综艺；随后讨论《种地吧》与《克拉克森的农场》两部种地综艺，并谈及专业背景（发言人2为俄语专业但未从事相关职业，发言人1学数学与统计，发言人4学软件工程）。后半段发言人6提议讨论日本现代化转型，涉及明治维新与和平宪法，但发言人5表示不懂，讨论未深入，因设备与人员安排中断。以分享为主，未形成明确结论。
# 分段速览
## 00:00:02-00:05:32 闲聊：阅读与综艺
会议开场为自由闲聊。发言人1询问在场者是否看小说，发言人2表示不怎么看小说、更常刷短剧，发言人4也认同。发言人1提到自己反复阅读《红楼梦》多次，最初高中时读不太懂，反复读后才觉得有意思。话题随后转向综艺，发言人2和发言人4表示看电视剧和综艺较多，偏好娱乐类、旅游类、户外类及做饭类内容。发言人1介绍《种地吧》综艺，参与者为十个男生，走偶像路线但选择小众的种地题材，录制周期约半年、几乎24小时录制，十人后来组成组合并开演唱会。发言人1还提到英国种地综艺《克拉克森的农场》。
## 00:05:32-00:08:15 闲聊：农业项目与专业背景
发言人1继续介绍《种地吧》参与者成立农业公司尝试新型农业，种植小月季和水培蔬菜，有项目盈利也有项目亏损，参与者是实际股东、每人出资，但个人主要收入仍来自综艺。发言人1指出农业门槛较高，种月季需请专人照看水土。随后话题转向专业背景：发言人2是俄语专业但就业时未从事相关工作，称五六年不用已遗忘；发言人1之前学数学、后来学统计；发言人4学软件工程，属工科。
## 00:08:15-00:12:43 闲聊：护发话题与人员安排
发言人2称赞发言人4头发多，引发洗发水话题。发言人4表示换着用多种洗发水，目前囤有三种，称换用后头发没那么容易油了，但记不清所用品牌。发言人2询问是否有推荐，发言人4表示稍后找订单告知。随后发言人1结束录制，发言人5接手安排后续录制，涉及中英混播、八爪鱼、金融等人员与设备协调，现场出现人员调度与会议室安排，发言人2表示「不该来这个」。
## 00:12:43-00:13:02 日本现代化转型讨论
发言人6提议讨论日本现代化转型，涉及明治维新与和平宪法，并指出发言人5在日本上学、应是主场。发言人5表示对日本现代化转型话题不懂。讨论因设备与人员安排中断，未深入展开。
# 要点梳理
## 个人阅读与综艺观看
- **发言人1**：反复阅读《红楼梦》多次，高中初次阅读时不太能读懂，反复读后才觉得有意思。
- **发言人2**：不怎么看小说，刷短剧更多；平时看电视剧和综艺多一点。
- **发言人4**：不怎么看小说，看综艺多一点，娱乐类为主，烧脑类看得少。
- **发言人1**：介绍《种地吧》综艺，参与者为十个男生，走偶像路线但选择小众路线，大部分搞音乐，后来组成组合并开演唱会。
- **发言人1**：介绍《种地吧》录制情况，几乎24小时录制，一录半年，视频素材特别多。
- **发言人1**：提到《种地吧》参与者成立农业公司，尝试创业发展新型农业；项目有亏有盈，参与者是实际股东，每人掏钱。
- **发言人1**：提到《种地吧》种植小月季和水培蔬菜，月季需请专人看水和土，外行人很难做；有一个鱼塘但未认真经营。
- **发言人1**：提到英国种地综艺《克拉克森的农场》。
- **发言人1**：提到近期三农主题内容较多，挺多人喜欢看。
## 专业背景与职业
- **发言人2**：俄语专业，就业时未从事俄语相关工作，五六年没用已遗忘。
- **发言人2**：提到康鹏曾科普俄罗斯人贸易相关信息，称其生意内部消化较多、对外营销较少，不怎么外传。
- **发言人1**：之前学数学，后来学统计，一直是理科生。
- **发言人4**：理科生，学软件工程，属于工科。
## 洗发水话题
- **发言人4**：洗发水换着用，家里囤有三种轮着用；之前头发容易油或痒，换用后没那么容易油了。
- **发言人4**：未使用海飞丝，所用品牌不认识、叫不上名字，答应之后找订单告诉发言人2。
## 日本现代化转型讨论
- **发言人6**：提议讨论日本现代化转型，涉及明治维新与和平宪法。
- **发言人5**：表示对日本现代化转型话题不懂。
- **发言人6**：提到发言人5在日本上学，称其是主场。
- **发言人5**：因设备与人员安排（八爪鱼、金融相关事务），讨论未深入即中断。</t>
        </is>
      </c>
      <c r="D43" s="10" t="n">
        <v>27.7</v>
      </c>
      <c r="E43" t="inlineStr">
        <is>
          <t>5310/1910</t>
        </is>
      </c>
    </row>
    <row r="44" ht="13.5" customHeight="1" s="9">
      <c r="A44" s="6" t="inlineStr">
        <is>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is>
      </c>
      <c r="B44" s="2" t="inlineStr">
        <is>
          <t>专题讲座</t>
        </is>
      </c>
      <c r="C44" t="inlineStr">
        <is>
          <t># 讲座概况
主讲人系统梳理了朝鲜半岛从分裂到统一再到二战后分裂的历史脉络，重点讲解朝鲜战争爆发背景、主要战役、停战协定及战后影响，并现场解答听众关于朝韩现状、旅游、军队战斗力、中美关系等提问。讲座面向对朝鲜战争历史及半岛现状感兴趣的听众，围绕朝鲜半岛历史与朝鲜战争、朝鲜旅游与现状、半岛分裂原因与统一展望、韩军表现、抗美援朝决策与中美关系、中俄朝关系与图们江出海口等板块展开。核心判断包括：朝鲜战争奠定中国强国地位，美国在越南战争中未敢越过北纬十七度线；朝韩仅名义停战，三八线悲剧延续至今；韩军战斗力在1952年前弱、之后不可小视。关键锚点：1950年6月朝鲜战争爆发、1953年7月27日停战协定、1950年10月19日志愿军跨过鸭绿江。对听众而言，有助于理解朝鲜半岛问题的历史根源与当前东北亚格局。
# 核心观点与论证
## 朝鲜战争爆发背景与各方称谓
- **三八线形成**：1945年二战结束、日本投降后，美苏军队分别开进朝鲜半岛南北，以北纬38度为基准形成三八线；此前半岛历经高丽、百济、新罗从分裂到统一，二战后再次分裂。
- **苏联鼓动朝鲜南进**：1949年新中国宣布废除列强在华一切租界及特权，含苏联在东北的中长铁路及大连、旅顺特区利益；苏联不甘心，鼓动朝鲜进攻韩国，希望以仁川或釜山替代旅顺、大连地位，继续在亚洲发挥影响力。
- **战争爆发与各方称谓**：1950年6月北朝鲜军队率先越过三八线南攻，朝鲜战争爆发；朝鲜称`祖国统一解放战争`，中国称`抗美援朝`，韩国称`625事件`，美国及西方称`朝鲜战争`或`韩战`（韩战主要为台湾地区称谓）。
- **初期战况与仁川登陆**：战争开始后朝鲜人民军从三八线打到洛东江环形防御圈（今大邱至釜山一带）；1950年9月15日美军仁川登陆成功，将深入韩境的朝鲜人民军分割包围、逐次歼灭，收复三八线以南领土。
## 中国出兵与主要战役进程
- **中国出兵决策**：联合国军由美军主导、16国共同出兵，总司令麦克阿瑟欲扩大战果吞并整个北朝鲜；因朝鲜半岛对中国呈`唇亡齿寒`状态，美军越过三八线后，中国决定以志愿军形式出兵。
- **入朝时间线**：1950年10月19日志愿军跨过鸭绿江，10月25日与韩国军队首次交火，11月5日第一次战役结束；此后相继进行第二次战役（含长津湖战役）、第三次战役。
- **推进至三七线**：第三次战役越过三八线，占领汉城（今首尔）及仁川、水原一带，将战线推进至北纬37度；后期美军反攻，双方在三八线与三七线之间鏖战。
- **第五次战役与停战**：第五次战役为最后一次大规模战役，结束后双方在三八线基础上互有攻防；西部中朝方面占领开城、延安半岛、望京半岛，东部美军占领襄阳、金刚山地区（金刚山今为韩国著名旅游景点）。
- **停战协定**：1953年7月27日双方正式达成停战协定并延续至今，朝韩仅名义上停战、未实现真正和平；三八线非军事区（DMZ）与金刚山现为旅游景点。
## 朝鲜战争的历史影响
- **奠定中国强国地位**：从中国角度，战争奠定强国地位，美国再不敢小瞧中国；1967年越南战争时期中国警告美国不得越过北纬十七度线（南越与北越边境线），否则中国必将出兵越南，美国未敢逾越。
- **美国称被遗忘的战争**：联合国军最后一任司令官马克·克拉克承认，他是美国历史上第一位在未取得胜利情况下签署停战协议的司令官；美国称此战为`被遗忘的战争`。
- **朝韩两败俱伤**：伤害最深的实为朝鲜和韩国——双方本是一脉相承的血肉同胞，却分裂成两个国家，三八线悲剧延续至今。
## 朝鲜半岛分裂原因与统一展望
- **美苏冷战布局**：美国在三八线以南单独建立韩国，是为保护日本免遭苏联及共产主义势力影响；苏联则需在亚洲建立卫星附属国，故扶植北朝鲜独立建国，奉行对苏马首是瞻政策。
- **统一计划落空**：最初计划像奥地利一样在不同占领区受降后举行普选、建立统一民选政府；但美苏关系急转直下，所扶植领导人各有心思，因意识形态不同最终建立两个国家，成为朝鲜战争爆发缘由。
- **若美国未下场的假设**：若朝鲜战争爆发时美国未救援韩国，今日朝鲜可能成为苏联卫星国，既是牵制中国的钉子，也是威胁美国在亚洲（尤其日本）的定时炸弹。
- **统一前景判断**：朝韩若统一大概率是韩国兼并朝鲜——经济影响和综合实力摆在那里；但北方有充足优质兵源及核武器、导弹等尖端武器，统一后对整个东北亚都是不稳定定时炸弹。
- **越南类比**：越南统一第二年即进攻柬埔寨和泰国，中国被迫于1979年出兵发动对越自卫反击战；越南尚且如此，朝鲜半岛统一后局势更不可控。
## 韩军战斗力评价
- **初期表现差**：1950年6月25日战争爆发后，韩军因瞎指挥差点被朝鲜团灭；7月10日以后南部地面战斗主要由美军与朝鲜人民军进行，韩军初期只负责`冲人头`角色。
- **1952年转折**：1952年后美军重新整训韩军，韩军才形成基本战斗力；此前对美军而言类似`猪队友`，志愿军与美军占不到便宜时常从韩军战线突击，美军每次兵败多由韩军战线崩溃引起。
- **第五次战役溃败**：第五次战役中志愿军从朝鲜半岛东部对韩军形成反包围突击，打崩其前线；美国人在韩国领土上撤销了韩国第三军团。
- **军队构成与文化**：韩军军官主体是二战时期日本扶植的伪军和傀儡部队骨干，士兵类似国民党时期抓壮丁强征的农村青年；贯彻昭和日军武士道精神，老兵欺负新兵、军队霸凌事件延续至今，被视为旧日军部队的延伸。
## 抗美援朝而非收复台湾的决策
- **海军实力不足**：台湾海峡距离约100公里，中共刚建国没有相应海军实力，无法进行解放台湾的战斗。
- **美国介入台海**：1950年朝鲜战争爆发后，美国参众两院视其为共产主义世界对自由世界的全面进攻，将台湾和韩国共同纳入亚太保护圈；美军陆军出兵朝鲜半岛，海军第七舰队进驻台湾，既防解放军解放台湾，也防国民党反攻大陆。
- **唇亡齿寒的必然选择**：美军越过三八线向中朝边境进发，触动中国敏感神经，即便不愿与美国爆发全面战争也不得不打；既然海上无法战斗，就在陆地上战斗——长津湖和上甘岭两场战役接连让美军惨败，至今仍是美国人挥之不去的梦魇。
## 当前美朝关系与中俄朝关系
- **美国忌惮中俄**：美国因惧怕朝鲜背后的中国和俄罗斯而未主动进攻朝鲜——朝鲜战争时中国出动志愿军、苏联提供空军掩护和武器后勤支持，联手把美国打回三八线以南；美国不敢再次挑起半岛武装冲突。
- **朝鲜不敢贸然动武**：金家担心江山一旦贸然发动战争会被重新颠覆，故也不敢发动战争。
- **图们江出海口问题**：中俄朝关系`各怀鬼胎`，图们江出海口问题至今未解决——图们江是俄罗斯与朝鲜的界江、通往日本海的出海口，但俄朝建了一座小桥，大船无法通行；俄朝都不希望中国过分强大，不愿让出出海口。
# 金句总结
&gt; 唇亡齿寒。
- 讲到美军越过三八线、进犯中朝边境时，说明中国决定出兵朝鲜的原因。
&gt; 美国再也不敢小瞧我们了。
- 总结朝鲜战争对中国国际地位的影响，并引出越南战争时期中国警告美国不得越过北纬十七度线。
&gt; 他是美国历史上第一次在未取得胜利的情况下签署停战协议的司令官。
- 引用联合国军最后一任司令官马克·克拉克的自述，说明美国对朝鲜战争的定性。
&gt; 伤害最深的其实还是朝鲜和韩国，毕竟大家都是就是一脉相承嘛，都是血肉同胞，却分裂成了两个国家。
- 评价朝鲜战争对朝韩两国的伤害，指出三八线悲剧延续至今。
&gt; 各怀鬼胎。
- 回答中国、俄罗斯、朝鲜三国关系现状时，指出三国各有自身利益考量。
&gt; 既然海上没办法进行战斗，那就只能在陆地上进行战斗。
- 解释新中国为何选择抗美援朝而非解放台湾，强调当时解放军陆军优势与海军短板。
&gt; 长津湖和上甘岭，就是接连让美军惨败，这两场战役也到今天也是美国人挥之不去的梦魇。
- 总结抗美援朝中两场关键战役对美军的震慑作用。
# Q&amp;A 环节
**听众**：这场战争开始和结束时，韩国和朝鲜的势力有很大差别吗？战争的改变大吗？
**主讲人**：从中国角度说，奠定了我们强国地位，美国再不敢小瞧我们，导致1967年越南战争时中国警告美国绝不允许越过北纬十七度线，美国未敢越线。这场战役在美国被称为被遗忘的战争，联合国军最后一任司令官克拉克承认他是美国历史上第一次在未取得胜利的情况下签署停战协定的司令官。伤害最深的还是朝鲜和韩国，本是血肉同胞却分裂成两个国家，三八线的悲剧延续至今。
**听众**：现在越南还分南北吗？
**主讲人**：没有，越南是统一的，美国最终放弃了南越，北越趁机会把南越统一了。
**听众**：三八线定了之后，现在韩国跟朝鲜哪边好玩一点？
**主讲人**：当然是韩国更好玩。朝鲜旅游没有人身自由，入境第一件事搜手机检查，没有无线网，只有平壤有他们自己的网络运营商，类似咱们国家八九十年代的状态，手机很落后很慢，国际漫游和网络非常贵。那几天就是参观主体思想和社会主义辉煌建设成就，类似以前文革时期那种无产阶级高于一切的思想，活在异次元的世界当中。
**听众**：他们普通人可以上网吗？
**主讲人**：普通人不能上网，局域网都很有限，普通人连电脑和5G手机都用不起。因为外部有韩国，韩国用韩剧作为意识形态宣传武器，老百姓知道真相后会颠覆政权，否则为什么那么多朝鲜老百姓吃不饱肚子还往韩国跑？鲜有韩国人会去朝鲜，就是脱北者。
**听众**：他们有拿飞机往朝鲜发传单，发韩国文化那种图，文化入侵？
**主讲人**：有的，朝鲜严防，只要被发现谁家私藏，肯定要追究连带责任。
**听众**：朝鲜那边有啥好玩的？
**主讲人**：也就平壤那边看看志愿军抗美援朝的功绩，还有开城，毕竟是朝鲜半岛三千年古都，特产小人参。
**听众**：朝鲜有他们古代的文化吗？高丽，还有韩剧里讲朝鲜古代将军什么的。
**主讲人**：朝鲜半岛文明是中华文明的一个衍生物，文明有3500年历史，最早是商周时期形成初步文明。高丽半岛一直是中华文化圈的一个附属国，一直到甲午战争清朝战败后，朝鲜才彻底脱离和中国的隶属关系，成立大韩帝国，后来跟日本合并，二战后复国又被分裂。
**听众**：朝鲜是不是和北京或俄罗斯有一个很大的广场？平壤的金日成广场，是以领导人命名吗？
**主讲人**：对，以领导人来命名，他们大将军、大元帅这样的。
**听众**：南北之间的割裂有什么历史渊源？为什么会成为两个政权？
**主讲人**：一开始美国和苏联都希望在朝鲜半岛建立缓冲区。美国在分出三八线以南单独建立韩国，是为了保护日本免遭苏联及共产主义势力影响；苏联也需要在亚洲建立卫星附属国，所以宣布北朝鲜独立，奉行对苏联马首是瞻的指示。两边最初诉求本来是在不同占领区受降后，像奥地利那样普选建立统一民选政府，但美苏关系恶化得非常快，所扶植的领导人也各有心思，由于意识形态不同，最终建立了两个不同国家，这也是朝鲜战争爆发的缘由。
**听众**：当时美国没有打败朝鲜，你觉得现在美国对朝鲜的态度是怎样的？
**主讲人**：美国惧怕朝鲜背后的中国和俄罗斯。朝鲜战争爆发时朝鲜快被美国完全占领，中国出动志愿军帮着朝鲜把美国打回去，苏联也提供了空军掩护和武器后勤支持，中苏联手把美国打回三八线以南。美国比较忌惮，没有主动进攻朝鲜，也没再次挑起半岛武装冲突。朝鲜金家也担心贸然发动战争后江山被颠覆，所以也不敢贸然发动战争。
**听众**：现在的朝韩对立可以认为是韩国和西方国家在背后支撑，是一个微妙的平衡。如果当时没有形成冷战布局、互相争夺半岛控制权的话，大一统的朝鲜半岛会是什么形态？大号的朝鲜还是平衡的韩朝？
**主讲人**：如果朝鲜战争爆发时美国没有下场救援韩国，今日朝鲜可能会是苏联卫星国附属之下、用来牵制咱们国家的一颗钉子，也是威胁美国在亚洲尤其是日本的不稳定定时炸弹。现在朝韩要是统一，大概率是韩国兼并朝鲜，毕竟经济影响和综合实力摆在那儿；但北方有充足优质兵源以及核武器和导弹尖端武器，统一后对整个东北亚地区都是一颗不稳定的定时炸弹。当年越南统一时宣布继承法国在中南半岛所有地盘，统一第二年就去进攻柬埔寨和泰国，被逼到79年出兵对越南发动自卫反击战。越南尚且如此，朝鲜半岛统一之后局势更加不可控。
**听众**：你感觉现在中国、俄罗斯和朝鲜之间关系怎么样？
**主讲人**：各怀鬼胎。咱们和朝鲜、俄罗斯的问题主要是图们江出海口问题，到今天还拖着没着落。
**听众**：什么出海口？
**主讲人**：图们江是俄罗斯和朝鲜的界江，那个地方是日本海的出海口，在中朝俄边境那块，国际水域航道可以通行，但俄罗斯和朝鲜建了一座小桥，大船没法过去。俄罗斯和朝鲜都不希望咱们过分强大，不想过多依附于我们，所以把图们江出海口封死了，都不想把出海口让给我们。
**听众**：你觉得朝鲜战争中朝鲜军队和韩国军队有没有发挥什么作用？
**主讲人**：一开始韩国军队瞎指挥，差点被朝鲜团灭。6月25日战争爆发，7月10日以后南部地面战斗主要是美军和朝鲜人民军打，韩军一开始负责冲人头。差不多1952年之后美国把韩国重新整军训练备战，韩军才形成基本战斗力。在此之前韩军对美军来说像猪队友，志愿军跟美军占不到便宜时都从韩国军队战线突击，美军每一次兵败都是韩国军队战线崩溃引起的。第五次战役中志愿军从朝鲜半岛东部形成反包围突击，把整个韩国军队前线打崩，美国把韩国第三军团全部撤销，是美国人在韩国领土上把韩国军队给撤销了。韩军战斗力1952年之前我不敢恭维，1952年之后还是不可小视。韩军军官主体是二战时期日本人扶植起来的伪军和傀儡部队骨干，士兵类似国民党时期抓壮丁强征的农村青年。韩军从朝鲜战争成军一直到现在，贯彻二战时期昭和日军那套武士道精神管理体制，老兵欺负新兵、军队霸凌事件一直蔓延到今天，是一支充满昭和军国主义思想余孽的旧日军部队延伸。
**听众**：1950年援朝时中国刚成立，实力不是很强，为什么选择抗美援朝而不是收复台湾？
**主讲人**：台湾和大陆之间有一道漫长海峡，距离差不多100公里左右。中共刚刚建国，没有相应海军实力。50年朝鲜爆发战争，美国参众两院普遍认为这是共产主义世界对自由世界的全面进攻，把台湾和韩国共同纳入美国亚太保护圈，美军陆军出兵朝鲜半岛，海军第七舰队进驻台湾，一来防止解放军解放台湾，二来防止国民党反攻大陆。解放军建军时没有相应海军实力，没办法进行解放台湾的战斗。但美国后期越过三八线向朝鲜及中朝边境进发，触动了咱们的敏感神经，唇亡齿寒概念深入人心，导致即便不愿意和美国爆发全面战争，又不得不进行。台湾那事已经让咱们很被动，朝鲜半岛这场既然要争取战略主动，解放军陆军很强，海上没办法战斗，就只能在陆地上战斗。这也是后来战斗意志的体现，长津湖和上甘岭接连让美军惨败，这两场战役到今天也是美国人挥之不去的梦魇。</t>
        </is>
      </c>
      <c r="D44" s="10" t="n">
        <v>69.7</v>
      </c>
      <c r="E44" t="inlineStr">
        <is>
          <t>7464/6160</t>
        </is>
      </c>
    </row>
    <row r="45" ht="13.5" customHeight="1" s="9">
      <c r="A45" s="6" t="inlineStr">
        <is>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is>
      </c>
      <c r="B45" s="2" t="inlineStr">
        <is>
          <t>对话记录</t>
        </is>
      </c>
      <c r="C45" t="inlineStr">
        <is>
          <t># 对话概况
本次闲聊由发言人1以“出门必带的三样东西是什么”提问开场，五名发言人围绕个人随身物品习惯展开漫谈，话题从必带物品（手机、充电宝、指甲刀、钥匙、皮圈、耳机、工卡等）自然延伸至头发打理与个人形象，再因提及“秋天容易下雨”转入北京降雨与居住安全讨论。主要话题包括：出门必带物品、钥匙与电子锁使用习惯、头发打理与形象偏好、留长发胡子的个人经历、北京降雨季节性与低洼居住风险。倾向与差异方面：多数人认可手机必带，分歧主要在“必要”与“安心”之间——发言人2以指甲刀平替钥匙、上班必带刮胡刀（平均每三天一次，因胡子一天能长几毫米），发言人5则每日带手机、耳机和工卡；关于绑发与披发，发言人1认为散头发更好看，发言人2表示若自己是女生会选择披发，因绑发显得脑袋大。整体以分享为主，未形成明确结论。可作锚点的事例包括：发言人2胡子一天长几毫米、平均每三天带一次刮胡刀上班、发言人2留胡子时曾被误认为新疆少数民族。
# 交流内容
- **出门必带物品**：发言人1起头问出门必带三样东西，发言人2答`手机`、`充电宝`、`指甲刀`，称指甲刀可磨手掌、戳钥匙；发言人3答`钥匙`，发言人1附和必须带钥匙；发言人4表示必带绑头发的`皮圈`；发言人5称每天带`手机`、`耳机`和`工卡`。
  - 发言人2已用`电子锁`多年、没有钥匙概念，用指甲刀平替钥匙；还提到以前`扣耳勺`也挂钥匙上。
  - 发言人4担心钥匙破坏性强，倾向套起来或挂起来；发言人1称自家门是`指纹锁`，出门只需`手机`和`充电线`。
  - 发言人2上班必带`充电宝`、`手机`、`刮胡刀`三件套，平均`每三天`带一次刮胡刀，因胡子`一天能长几毫米`；发言人5的耳机和工卡直接放单位，靠`刷脸`进门。
  - 发言人1提到领`夜宵`需带工卡，发言人2称领完即把工卡扔回工位；发言人3补充出门带`纸巾`、下雨带`伞`。
- **头发打理与个人形象**：发言人2好奇初中男生爱薅女生`头发圈`的原因，发言人1表示无此爱好、认为散头发比绑发好看；发言人2称若自己是女生会披发，因绑发显得`脑袋大`；发言人3建议弄个`公分`两边补点小点。
  - 发言人2曾想留长发配大胡子，因不好打理放弃；尝试留胡子时被误认为`新疆少数民族`。
- **下雨天气与居住安全**：发言人1称秋天容易下雨，发言人2好奇为何不是春天；发言人4认为`北京`夏天易下雨，发言人1补充北京下雨少、无季节性。
  - 发言人3提到每年下雨`园区门口`都是水，`李博`家曾被淹；发言人2建议住`三楼以上`，远离低洼风险。
# 关键原话
&gt; 手机充电宝指甲刀。指甲刀得对呀，因为那个指甲刀是多重指甲刀，比如说还有那个刮刮指甲呀，然后磨摸手掌啊什么的。
- 发言人2回答发言人1提出的“出门必带三样东西”问题，解释指甲刀的多重用途。
&gt; 对呀，我必须带钥匙，不带钥匙就行。
- 发言人1回应发言人3提到的“钥匙”，强调自己出门必带钥匙。
&gt; 我我已经好多年的电子锁了，我都没什么钥匙的概念了都。然后所以说拿指甲刀来平替钥匙了。
- 发言人2说明自己因长期使用电子锁而用指甲刀替代钥匙。
&gt; 我一定会带一个那个皮圈就绑头发的。
- 发言人4在讨论出门必带物品时提到必带绑头发的皮圈。
&gt; 对，所以说我上班必带三件套，充电宝、手机、刮胡刀。
- 发言人2总结自己上班必带物品，此前提到胡子一天能长几毫米、平均每三天带一次刮胡刀。
&gt; 我现在每天就是手机、耳机和工卡。
- 发言人5回应“没人上班带耳机吗”，说明自己每天必带物品。
&gt; 我觉得北京是夏天能易下雨的。
- 发言人4回应发言人2关于“秋天容易下雨”的疑问，提出北京夏天易下雨。
&gt; 是我记得每年的下雨，嗯，都都那个园区门口都是水。李博还之前不是还就是开幕的那个地方还被淹了吗？
- 发言人3在讨论下雨天气时提到园区门口积水及李博家曾被淹。
# 共识与分歧
- **共识**：**出门必带物品以实用与个人习惯为核心**，多数人认同手机、钥匙、充电宝等属于高频刚需，理由集中在“不带会带来实际不便”（如发言人1强调“不带钥匙不行”、发言人2因胡子长得快而必带刮胡刀），分歧主要落在“必要”与“安心”之间——如发言人2用指甲刀平替钥匙、将充电宝视为“既能充电也能防身”的物件，属于习惯性安心；而发言人5带耳机、工卡则更贴近工作场景的必要性。
- **分歧**：在头发打理上呈现审美差异——发言人1认为散头发比绑发好看，发言人2从自身角度认为绑发显脑袋大、倾向披发，发言人4则因实际需要（绑头发）必带皮圈；在天气判断上存在经验差异——发言人4认为北京夏天易下雨，发言人1认为北京下雨少且无季节性，发言人3以园区门口积水、李博家被淹为例佐证夏季暴雨风险，发言人2据此提出“住三楼以上”的居住安全建议。
- **倾向**：本场为分享漫谈型，未形成明确结论，整体倾向是**出门物品因人而异，以个人习惯和实际场景为转移**；对居住安全的讨论虽由天气引出，但发言人均以自身经验或听闻为依据，未上升到统一行动建议。
# 延伸话题与后续
- **秋天容易下雨还是春天容易下雨**：发言人1提到秋天容易下雨，发言人2好奇为何不是春天，发言人4认为北京夏天容易下雨，发言人1补充北京下雨少且无季节性，讨论未形成定论。
- **李博家被淹的后续**：发言人3提到每年下雨园区门口积水，李博家曾被淹，发言人2建议住三楼以上，未再深入。</t>
        </is>
      </c>
      <c r="D45" s="10" t="n">
        <v>30.4</v>
      </c>
      <c r="E45" t="inlineStr">
        <is>
          <t>3851/2252</t>
        </is>
      </c>
    </row>
    <row r="46" ht="13.5" customHeight="1" s="9">
      <c r="A46" s="6" t="inlineStr">
        <is>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is>
      </c>
      <c r="B46" s="2" t="inlineStr">
        <is>
          <t>小组讨论</t>
        </is>
      </c>
      <c r="C46" t="inlineStr">
        <is>
          <t># 讨论议题与背景
本次会议为开放式漫谈，由发言人1发起，围绕“手机里最常用的三个APP”展开，共5位成员（发言人1至发言人5）参与，无正式议程。讨论由常用APP话题自然延伸至AI助手、视频播放器、音乐平台及歌手偏好等议题，具体包括：常用APP与AI助手使用习惯、视频与播放器APP使用情况、音乐APP与音乐偏好。整体以分享个人使用经验与观点为主，未形成统一结论。讨论按话题逐块推进，从APP清单切入，经AI助手准确性争议、视频平台版权与广告问题，过渡至音乐平台选择与听歌场景，最后以对Taylor Swift等歌手的偏好交流收尾。会议提及“单框架手机”“卓翼通”“虾扎”等专名，以及“柏林地铁”等场景锚点。
# 发言要点
## 常用APP与AI助手使用习惯
- **发言人2**：最常用APP为知乎、小红书、谷歌；不常用AI软件，因不确定其回答是否正确，仍停留在浏览器、纸质地图、尺子、圆规和铅笔标注的思维模式。
- **发言人3**：最常用微信、抖音、淘宝、京东等；已下载豆包AI助手，认为AI小助手回答更精准、总结性更强。
- **发言人4**：最常用微信、小红书；手机用小布小布AI助手，已不用浏览器直接搜索。
- **发言人5**：已下载豆包AI助手。
- **发言人1**：使用百度千问等AI助手；对AI回答准确性提出质疑「你能判断他说的是对的吗」。
## 视频与播放器APP使用情况
- **发言人5**：常用B站和YouTube，希望中英混杂内容能被识别；指出单框架手机现在连YouTube都下不了。
- **发言人4**：指出YouTube手机一般翻不了墙。
- **发言人1**：发现国内付费电视剧在YouTube上免费。
- **发言人2**：YouTube上部分内容仍需付费，但一些小网站可免费观看，因大平台有版权纠纷需付费；广告时间太长，倾向直接用B站观看。
- **发言人3**：常用腾讯视频、爱奇艺、优酷、芒果TV等播放器；提到可通过看广告获得VIP时长。
- **发言人5**：APP太多，不知道开哪个VIP。
## 音乐APP与音乐偏好
- **发言人5**：常用网易云音乐；单框架手机网易云不适配，现用卓翼通。
- **发言人2**：以前常用酷狗、酷我；提到欧美音乐平台虾扎有更多欧美演唱会版本，但大牌音乐因版权纠纷播不出来；在柏林坐地铁时听音乐代入感强，因地铁较安静。
- **发言人1**：认为虾扎平台唱的多是小众歌手；上班时听音乐。
- **发言人4**：通勤路上听音乐，需用降噪耳机。
- **发言人3**：最近喜欢谢霆锋，因其演唱会感染力强、氛围好；提到可通过看广告获得VIP时长。
- **发言人2**：疑惑Taylor Swift为何重新火起来——2010年代开头已火，后因绯闻消沉，但对九零后和零零后影响都很深；提到其与猫头鹰之城主唱亚当杨的绯闻，称当时东南卫视台湾节目讲过。
# 共识形成
- **一致意见**：与会者普遍认可AI助手比浏览器更全面、回答更精准、总结性更强（发言人3），但发言人2明确表示不常用AI软件，因不确定其回答是否正确，仍停留在浏览器、纸质地图、尺子、圆规和铅笔标注的思维模式，形成**AI助手便捷性与准确性信任度**的倾向性分歧。
- **视频平台分歧**：发言人1发现国内付费电视剧在YouTube上免费，发言人2指出YouTube上部分内容仍需付费，但一些小网站可免费观看，因大平台有版权纠纷；发言人2抱怨播放器广告时间太长，倾向直接用B站观看，发言人3提出可通过看广告获得VIP时长。
- **音乐平台分歧**：发言人2提到欧美音乐平台虾扎有更多欧美演唱会版本，发言人1认为其多为小众歌手，发言人2指出因版权纠纷大牌音乐播不出来；发言人5因单框架手机网易云不适配，现用卓翼通。
- **歌手偏好**：发言人3最近喜欢谢霆锋，发言人2疑惑Taylor Swift为何重新火起来，称其2010年代已火，后因绯闻消沉，未得到明确解答。
# 待探讨问题与后续
- **未定论**：发言人2疑惑Taylor Swift为何在近期重新火起来，称其2010年代已火、后因绯闻消沉，但未得到明确解答。
- **未确认**：发言人2提及Taylor Swift与猫头鹰之城主唱亚当·杨曾传出绯闻，并称其当时曾向对方表白，发言人4表示未关注此事，该说法未获其他成员证实。
- **未确认**：发言人2提到欧美音乐平台「虾扎」有更多欧美演唱会版本，但发言人1认为其多为小众歌手，发言人2指出因版权纠纷大牌音乐播不出来，该平台的具体情况未进一步核实。
- **待核实**：发言人5指出单框架手机网易云音乐不适配、需用「卓翼通」替代，其他成员未回应，该问题是否普遍存在未获讨论。</t>
        </is>
      </c>
      <c r="D46" s="10" t="n">
        <v>36.7</v>
      </c>
      <c r="E46" t="inlineStr">
        <is>
          <t>4259/1974</t>
        </is>
      </c>
    </row>
    <row r="47" ht="13.5" customHeight="1" s="9">
      <c r="A47" s="6" t="inlineStr">
        <is>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is>
      </c>
      <c r="B47" s="2" t="inlineStr">
        <is>
          <t>专题讲座</t>
        </is>
      </c>
      <c r="C47" t="inlineStr">
        <is>
          <t># 讲座概况
本次讨论由主持人（发言人1）发起，围绕2022年俄乌战争以来俄军的战场表现展开，对比游戏与影视中的俄军形象，并延伸至俄罗斯的地缘政治认知、旅游与文化印象。讨论面向对军事、地缘政治及俄罗斯文化感兴趣的参与者，以开放座谈形式进行。板块涵盖俄军在俄乌战争中的实际表现、游戏与影视中的俄军形象、俄罗斯的地缘政治与欧洲认知、俄罗斯旅游与文化印象。核心判断包括：俄军单兵素质强但后勤与指挥拉垮，形容为“矮脚巨人”；俄军从闪电战转为持久战，双方重装备耗尽，陷入战壕对峙与无人机互炸状态；欧洲将乌克兰视为“欧洲之门”，将俄罗斯视为亚洲游牧民族，因此支持乌克兰以阻挡俄罗斯。锚点案例包括《战地风云》《使命召唤》《红警》等游戏中的俄军形象、圣彼得堡东宫（世界四大艺术博物馆之一）、俄罗斯以探险队名义掠夺多国藏品。对听众而言，有助于理解俄军表现背后的多重因素及俄罗斯与欧洲的地缘认知差异。
# 核心观点与论证
## 俄军表现与预期严重不符
- **战争预期落空**：2022年俄乌战争爆发时，全世界认为战争天平会向俄罗斯一边倒，基辅会很快被占领、乌克兰会被消灭、泽连斯基会流亡；实际泽连斯基扛住进攻，俄军被从基辅打回白俄罗斯和乌克兰边境。
- **从闪电战变持久战**：俄军基层官兵收到命令时以为是去演习，结果演着演着进入乌克兰；第一批部队遭遇的是民兵自发抵抗而非军队有组织进攻，一来二去从闪电战变成持久战。
- **战场形态退化**：双方重装备耗光后，只能隔着战壕互相扔手雷或用无人机互炸，发言人1形容为「从钢铁洪流变成了菜鸡互啄」；发言人4认为俄乌战场与二战相比没多大进步，只是多了无人机。
- **单兵强而体系弱**：发言人1总结俄军「单兵素质很厉害，但总体很拉垮，主要后勤和指挥上」，形容为「矮脚巨人」——像柯基一样腿短撑不起庞大身躯。
## 俄军表现不佳的原因分析
- **普京信息茧房**：发言人1认为普京「活在他自己的信息茧房里」，对战场真实情况缺乏准确判断。
- **情报经费被贪污**：用于策反乌克兰官员的经费被情报官员贪污瓜分，普京真要进攻时乌克兰高官根本没收到策反经费。
- **乌克兰民族仇恨**：2014年俄罗斯占领克里米亚后，乌克兰上下迸发民族仇恨，发言人1类比为「九一八事变」式耻辱——一枪不发丢掉整个克里米亚，民众对政府无能与腐败非常不满。
- **装备依赖伊朗**：发言人1指出俄罗斯的无人机靠伊朗提供，乌克兰则靠北约持续输血，形成类似越战的消耗战格局。
## 游戏与影视中的俄军形象
- **游戏形象与现实反差**：发言人1提及《战地风云》《使命召唤》《红警》等游戏中的俄军或苏联红军形象，与现实中俄军表现有「360度的改观」。
- **西方游戏刻意抹黑**：发言人2认为《红警》是美国为黑苏联而制作；发言人4补充称西方主导的游戏几乎都把苏联描绘成反面角色——很猛、很变态、研究邪乎武器、规模夸张。
- **意识形态丑化**：发言人1指出西方把共产主义解放世界的思想抹黑成`心灵控制器`（《红警》中的武器），把毛子形容成暴力美学的形象代言。
## 欧洲地缘认知与乌克兰地位
- **欧洲之门**：乌克兰在欧洲人认知中被称为`欧洲之门`；欧洲人认为欧亚分界线在乌克兰而非乌拉尔山脉——白俄罗斯大部分是沼泽地，无法形成大规模运输通道走廊。
- **俄罗斯被当亚洲人**：欧洲人把俄罗斯人当亚洲野蛮人看待，类似《冰封王座》中贝加尔湖一带半兽人的反派角色；俄罗斯被蒙古人统治二百年，不被欧洲认可接纳，被视为「长着欧洲面孔的亚洲游牧民族」。
- **欧洲支援乌克兰的动机**：欧洲必须武装并守好乌克兰，把俄罗斯挡在亚洲之外；若俄罗斯握紧乌克兰，欧洲会「再一次生活在曾经的阴影之下」——唇亡齿寒的道理欧洲人明白。
- **美国与欧洲态度差异**：发言人1称在美国人认知中俄罗斯「既不是朋友也不是敌人，就是一个普通国家」；但在波兰、乌克兰、波罗的海三国等东欧国家眼中，俄罗斯就是敌人、蛮子、半兽人。
## 俄罗斯旅游与文化印象
- **东宫值得一去**：发言人1推荐圣彼得堡东宫，称其为`世界四大艺术博物馆之一`，连续三次参观不同区域都没看完馆藏珍宝，圣彼得堡夏天不错。
- **藏品来源多元**：俄罗斯以探险队名义从全球掠夺藏品——西至德国、法国、荷兰（含二战打进德国运回纳粹产品及王室联姻赠品），东至朝鲜半岛、蒙古、西藏、西夏王陵、敦煌，南至阿富汗、中亚、埃及、北非、奥斯曼帝国土耳其。
- **签证与入境经历**：发言人2提到去俄罗斯旅游后办美签可能被拒；发言人1分享因多次去俄罗斯，在美国边境入口被拦下盘问去俄目的，差点被怀疑是间谍。
# 金句总结
&gt; 俄军单兵素质很厉害，但是总体就很拉垮，主要后勤和指挥上。
- 讲到俄军在俄乌战争中的整体表现，针对其单兵能力与后勤指挥体系的落差。
&gt; 从一种钢铁洪流变成了最后的菜鸡互啄。
- 讲到双方重装备耗尽后，战场陷入战壕对峙与无人机互炸的状态。
&gt; 没有乌克兰的俄罗斯帝国终究只是沦为边缘亚洲国家。
- 讲到俄罗斯必须将乌克兰握在手中的地缘政治原因。
&gt; 欧洲的边界是在乌克兰，一定要守，要武装并守好乌克兰，要把俄罗斯给挡在亚洲之外。
- 讲到欧洲支援乌克兰以阻挡俄罗斯、避免欧洲再次生活在阴影下的战略考量。
&gt; 长着欧洲面孔的亚洲游牧民族。
- 讲到欧洲人因俄罗斯被蒙古统治二百年而不予认可，将其视为亚洲人的认知。
# Q&amp;A 环节
**发言人4**：俄罗斯打仗是不是得给它打到要家破国亡了，才能迸发出战斗力打防守反击？主动进攻感觉就不行。
**发言人1**：可以这么说。俄军单兵素质很厉害，但总体拉垮，主要在后勤和指挥上，像“矮脚巨人”，腿特别短，支撑不起庞大的身子。2022年开战时普京活在自己的信息茧房里，底下情报官员把策反乌克兰官员的经费全贪污瓜分了，没想到普京真会进攻；基层官兵也以为是去演习，结果演着演着就进了乌克兰，第一批部队遭遇的是民兵自发抵抗，不是军队有组织进攻，一来二去从闪电战变成了持久战。
**发言人4**：感觉俄乌战场打得跟二战时候也没啥进步，多了点无人机，还是扔手雷，不太先进。
**发言人1**：双方重装备都耗光了，只能隔着战壕互相扔手雷、用无人机互炸，从钢铁洪流变成了菜鸡互啄。俄罗斯的无人机靠伊朗给，乌克兰靠北约持续输血，有点像越战的形式——乌克兰相当于北约，俄罗斯相当于越战时的美国，就这么耗着。
**发言人2**：去俄罗斯旅游之后，签证上会留记录，办美签的时候会被拒吧？
**发言人1**：对，我上次去美国，因为去过好几次俄罗斯，在边境入口就被拦下来盘问去俄罗斯干嘛，差点被怀疑是间谍。美国人对咱们既不当朋友也不当敌人，但东欧国家——波兰、乌克兰、波罗的海三国——是把俄罗斯当敌人、当蛮子看的。不过圣彼得堡的东宫还是值得去，世界四大艺术博物馆之一，我连续去了三次，不同区域都没逛完。
**发言人4**：俄罗斯地域那么宽阔，远东地区和欧洲那头差别大不大？
**发言人1**：总的来说还是以俄罗斯族为主，他们俄国东扩也像美国西进似的，源源不断淘金移民。俄罗斯历史上以探险队名义从欧洲、中东、东亚掠夺了不少藏品，东宫里能看到德国、法国、荷兰的，也有朝鲜半岛、蒙古、西藏、西夏王陵、敦煌的，还有阿富汗、中亚、埃及、北非、奥斯曼土耳其时期的藏品。</t>
        </is>
      </c>
      <c r="D47" s="10" t="n">
        <v>45.2</v>
      </c>
      <c r="E47" t="inlineStr">
        <is>
          <t>6103/3045</t>
        </is>
      </c>
    </row>
    <row r="48" ht="13.5" customHeight="1" s="9">
      <c r="A48" s="6" t="inlineStr">
        <is>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is>
      </c>
      <c r="B48" s="2" t="inlineStr">
        <is>
          <t>专题讲座</t>
        </is>
      </c>
      <c r="C48" t="inlineStr">
        <is>
          <t># 讲座概况
本次讨论由主持人发言人1组织，围绕电影《南京照相馆》展开，与会者分享了观影印象，并延伸至南京大屠杀的历史背景、真实与虚构细节及各地抗战纪念馆的参观体验。发言人1指出，电影主要人物为虚构，但照片拍摄真实，实际由两名美国传教士拍摄日军暴行，中国照片冲洗员偷偷拷贝后于战后交给国民政府军事法庭作为审判证据；中华门城墙战斗、挹江门撤退惨案及战后审判谷寿夫等主犯均为真实历史。发言人1还分析了南京大屠杀的成因，提及日军自九一八事变以来首次遭遇淞沪会战的迎头痛击、日本屠城传统及高压武士道精神，并指出松井石根曾下令避免烧杀抢掠，因生病被替换后，朝香宫鸠彦亲王发布“不留俘虏”命令导致军纪失控。与会者还分享了沈阳伪满洲国博物馆、唐山大地震纪念馆、上海淞沪会战纪念馆等地的参观经历，并提及南京大屠杀纪念馆预约困难。本次讨论面向对历史题材电影及抗战历史感兴趣的听众，有助于厘清电影叙事与史实的边界，深化对南京大屠杀历史成因与记忆传承的认识。
# 核心观点与论证
## 电影主要人物虚构，照片拍摄真实
- **人物虚构**：电影中主角与日本军官建立友谊的情节为虚构，发言人1确认主要人物并非真实历史人物。
- **照片真实**：照片拍摄本身真实，但方式与电影描述不同——实际由两名美国传教士拍摄日军暴行。
- **照片来源**：当时一名负责为日本人冲洗照片的中国冲洗员无意间发现日军暴行照片，因属日本禁文而偷偷拷贝藏起。
- **照片用途**：抗战结束后，该冲洗员将照片递交给国民政府军事法庭，作为审判日本战犯的证据。
## 南京大屠杀历史背景与成因
- **战争进程**：1937年8月13日国民党军队在上海与日军激战，后因实力原因撤退，日军从上海一路追击至南京。
- **抵抗空白**：自1931年九一八事变至八一三淞沪抗战前，日军占领东北、华北均未遭遇成规模抵抗，淞沪抗战是日军首次迎头痛击。
- **军纪失控**：日军因战场伤亡惨重、长达四个月作战已杀红眼，攻破南京后缺乏法律与军纪约束，导致南京大屠杀发生。
- **日军心态**：发言人1分析日军遭受前所未有的侮辱感与战场应激创伤，结合日本攻破城镇后屠城的传统，以及高压武士道精神下的欺凌与霸凌背景，日军以放纵作为宣泄。
## 松井石根与朝香宫鸠彦的指挥更替
- **松井石根命令**：原日军指挥官松井石根因生病被临时替换，他曾接连发布命令，要求避免日军在上海至南京沿线烧杀抢掠，以免招致中国军民反感、增强抵抗意志。
- **朝香宫鸠彦接任**：接任者为裕仁亲王的叔叔朝香宫鸠彦亲王，他是日本国内脱亚入欧思想的狂热追随者，认为亚洲国家除日本外皆低贱。
- **不留俘虏命令**：朝香宫鸠彦上任后发布第一道命令为「不留俘虏」，日军第一时间格杀勿论，随后蔓延至对老百姓群体，最终导致南京大屠杀与日军军纪失控。
## 电影中的真实历史细节
- **中华门战斗**：电影开头中华门城墙的战斗是真实历史细节，反映日军进攻南京所遭受的抵抗。
- **挹江门惨案**：电影中挹江门撤退场景真实——宪兵未让军民撤出，守挹江门部队未收到撤退命令，双方信息差导致惨案发生。
- **战后审判**：电影尾声审判为真实历史——打进南京的谷寿夫（第六师团师团长）及多名南京大屠杀主犯（基层日军军官）当时被枪决。
- **日本否认现状**：发言人5指出现在很多日本人不承认南京大屠杀这一事实。
# 金句总结
&gt; 在战场上长达四个月的一个状态，然后已经杀红眼了，就是可以说是在战争底下那种就是人性的泯灭吧。
- 讲到日军从上海追击至南京途中军纪失控、攻破南京后发生大屠杀的成因。
&gt; 从他们当时那样的一个心态来说，就。觉得遭受了一种前所未有的侮辱，以及在战场上的一种应激创伤反应。
- 分析日军在淞沪会战遭受迎头痛击后，其心态与后续暴行之间的关联。
&gt; 因为从他自己的角度来说，就是说我兴许我活不到战争结束，那我就趁着我还活着的时候，我对自己进行一种放纵。
- 解释日军攻破城镇后以屠城进行狂欢与麻痹的心理动因。
&gt; 从上到下那种高压武士道的精神那种，哦，就是。欺凌与霸凌的这种背景之下，更想找一种宣泄口这种方式来发泄。
- 剖析高压武士道精神背景下日军寻找宣泄口、最终导致军纪失控。
&gt; 果然他上任之后发布的第一道命令就是不留俘虏，月后祭坟。
- 提及朝香宫鸠彦亲王接替松井石根后发布的第一道命令，直接导致南京大屠杀。
# Q&amp;A 环节
**发言人4**：电影里主角和一名日本军官好像建立了友谊，这个情节是虚构的，还是真有这样的日本军官？
**发言人1**：电影里的主要人物是虚构的，但照片拍摄是真实的，只是方式与电影描述不同。真实历史是两名美国传教士拍摄了日军暴行；同时期我国一名负责给日本人冲洗照片的人员无意间发现这些照片，偷偷拷贝藏起，抗战后交给国民政府军事法庭，作为审判日本战犯的证据。
**发言人5**：现在好多日本人还不承认南京大屠杀这件事。
**发言人1**：对。电影里真实的历史细节包括：开头中华门城墙的战斗是真实的；挹江门撤退时，宪兵没让平民撤出，守军未收到撤退命令，双方信息差导致惨案；电影尾声审判中，谷寿夫等打进南京的部队主犯被枪决，也是真实历史。</t>
        </is>
      </c>
      <c r="D48" s="10" t="n">
        <v>45.8</v>
      </c>
      <c r="E48" t="inlineStr">
        <is>
          <t>4228/2161</t>
        </is>
      </c>
    </row>
    <row r="49" ht="13.5" customHeight="1" s="9">
      <c r="A49" s="6" t="inlineStr">
        <is>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is>
      </c>
      <c r="B49" s="2" t="inlineStr">
        <is>
          <t>小组讨论</t>
        </is>
      </c>
      <c r="C49" t="inlineStr">
        <is>
          <t># 讨论议题与背景
本次讨论由主持人发言人1发起，参与者发言人2参与，共两人围绕日本国家概况进行交流。讨论由主持人提出“谈谈日本这个国家的概况、大家对日本的印象和了解”直接引出，无特定前情。议题范围涵盖日本历史与文化、天皇制度、社会结构、旅游与购物体验等。讨论以分享观点为主，未形成统一结论。讨论中提及日本文化经历三次转折（大化改新、明治维新、二战后和平宪法转型），以及广场协议后泡沫经济崩溃催生中古店产业等关键信息。整体推进方式为漫谈发散，由主持人主导讲解，参与者穿插提问与分享，话题从历史文化自然过渡至旅游购物。
# 发言要点
## 日本历史与文化
- **发言人2**：读研时上过日本文化课程，读过老舍《四世同堂》后，认为民族仇恨还是应该要有一点影响。
- **发言人1**：日本文化缺乏原创，多为外来接收后的本土化改进，经历三次转折——大化改新、明治维新、二战后和平宪法转型。
- **发言人1**：大化改新后日本向中国和朝鲜半岛学习，在吴越文化基础上本土化转型，形成和服、制茶、漆器等传统印象。
- **发言人1**：明治维新后日本向欧美列强学习，借鉴英国和德国的法度；二战后美国制定和平宪法，推动社会结构转型，形成动漫、二次元、汽车工业、铁道工业等现代印象。
- **发言人2**：日本民族性格极端，因其为岛国、气候不稳定，如发展农业可能遭遇海啸等灾害，导致性格容易极端。
- **发言人1**：古代天皇对各地封建君主而言更像吉祥物般存在，类似东汉末年、战国时期的天子，被供奉为神灵以精神层面控制百姓。
- **发言人1**：1945年二战结束后，美军统帅麦克阿瑟进驻日本，公开要求天皇在媒体和众人面前露面，让平民知道天皇是真人而非神灵，从精神上打破固有认知以推动社会转型。
- **发言人1**：日本现为君主立宪制，天皇及皇室成员不能参与政治和国家事务，政治由国会和内阁选出首相执政，体制与英国、西班牙相近；天皇存在感不如英国国王，因英国国王还是英联邦国家名义元首，日本只有本州岛范围。
## 日本旅游与购物
- **发言人1**：东京购物和博物馆资源丰富，推荐美妆、护肤品、玩具，如数码宝贝玩偶、铁甲小宝原装及数码宝贝第二部黑暗战路暴龙兽合金版均为秋叶原最早发行。
- **发言人1**：日本奢侈品便宜，中古店（二手奢侈品商店）很多；中古店源于广场协议后泡沫经济一夜崩溃，失业上班族寄卖高档大衣、西装、皮具等催生新产业。
- **发言人1**：中古店在上海很多，可买到LV、Burberry、古奇等上个世纪知名大牌，女性款式较多，男性款式相对有限。
- **发言人1**：个人偏好镰仓气候，夏天去比较舒服，喜欢登山、爬富士山、逛古城和博物馆，如镰仓、京都、名古屋等关西地区有本土化改良的文化场景。
# 共识形成
- **一致意见**：双方均认可日本文化对当代影响深远，且其文化缺乏原创性，多为外来接收后的本土化改进；对日本旅游与购物体验评价较高，认为其在服务业与购物体验方面首屈一指。
- **倾向性认识**：发言人1系统梳理日本文化三次转折——大化改新、明治维新、二战后和平宪法转型，并指出天皇制度从古代「吉祥物」式存在，经麦克阿瑟1945年要求天皇公开露面后，转变为无实权的象征性君主立宪制，与英国、西班牙体制相近；发言人2认同此框架，并补充认为日本民族性格极端与岛国气候不稳定有关。
- **主要分歧点**：发言人2提出「民族仇恨还是应该要有一点影响」，发言人1回应称中日民族仇恨「没那么严重」，并对比欧洲、中亚民族仇恨更为严峻——双方对历史仇恨在当代认知中的权重存在不同侧重，未就此达成统一结论。
# 待探讨问题与后续
- **未确认**：日本民众现在对天皇是否仍有崇拜，发言人2提出该疑问，发言人1回应称已无崇拜、天皇为象征性存在，但未提供调查数据或民意依据。
- **未确认**：二次元一词的英文表达，发言人1现场提问，未获明确回答，讨论随即转向其他话题。
- **未定论**：日本民族性格与岛国气候不稳定之间的因果关系，发言人2提出该观点，发言人1未作回应或补充，该话题未深入展开。
- **未定论**：日本文化缺乏原创性、多为外来接收后本土化改进的判断，发言人1提出此观点，发言人2未明确赞同或反对，讨论未就此形成一致认识。</t>
        </is>
      </c>
      <c r="D49" s="10" t="n">
        <v>31.8</v>
      </c>
      <c r="E49" t="inlineStr">
        <is>
          <t>4892/1784</t>
        </is>
      </c>
    </row>
    <row r="50" ht="13.5" customHeight="1" s="9">
      <c r="A50" s="6" t="inlineStr">
        <is>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is>
      </c>
      <c r="B50" s="2" t="inlineStr">
        <is>
          <t>小组讨论</t>
        </is>
      </c>
      <c r="C50" t="inlineStr">
        <is>
          <t># 讨论议题与背景
本次会议为自由文学讨论，由发言人1提议从《西游记》延伸至《三国演义》，共5位发言人参与。讨论以三国历史细节、人物评价与阵营偏好为起点，随后转向《红楼梦》的版本、判词与人物命运。三国部分围绕诸葛亮去世后的正史后续（姜维北伐、孙权二宫之争、邓艾偷渡阴平、刘禅投降、西晋灭吴）、赤壁印象、蜀汉阵营偏好、刘备称汉中王引发的连锁反应（吕蒙白衣渡江、夷陵惨败）、借荆州与湘水划界、单刀赴会、东吴大都督结局、魏延烧栈道及三顾茅庐与隆中对等议题展开；红楼梦部分则聚焦前八十回与后四十回作者差异、第五回判词预示结局、晴雯与袭人的人物对应、林黛玉与薛宝钗的明清解读及秦可卿前朝公主之说。讨论以分享观点为主，未形成统一结论，整体按三国、红楼梦两大议题逐块推进，发言人多以补充史实与解读的方式参与，穿插个别成员的提问与回应。
# 发言要点
## 三国印象与历史细节讨论
- **发言人2**：三国到诸葛亮去世就基本差不多了，后面没意思，自己没看完；印象最深刻的章节是赤壁，认为三国前面比后面有意思。
- **发言人2**：受《三国演义》影响，偏好蜀汉刘备阵营，理由是刘备白手起家。
- **发言人1**：正史后续还有姜维北伐、孙权二宫之争、邓艾偷渡阴平、刘禅投降、西晋灭吴等事件；孙权晚年昏庸，在二宫之争中害死两个儿子，导致东吴朝廷大乱。
- **发言人1**：刘备称汉中王不妥，引发连锁反应——吕蒙白衣渡江、刘备伐吴失败（夷陵惨败）；若未称王，孙权可能不会彻底决裂。
- **发言人1**：讲述借荆州与湘水划界细节——孙权只要求刘备归还部分地区，刘备不乐意，孙权派兵强夺荆南三郡；因曹操攻下汉中威胁西川，刘备回师并与孙权签订湘水之盟。
- **发言人1**：单刀赴会实为鲁肃与关羽各带随从在中立区谈判，被罗贯中美化为关云长只身赴险。
- **发言人2**：白衣渡江伪装成商人，在古代打仗不太道德、突破底线，开了坏头，吕蒙口碑不好。
- **发言人1**：吕蒙白衣渡江偷盟友家，后世把「小偷鼠辈」与吕蒙名字画等号。
- **发言人1**：东吴大都督结局——周瑜被曹人射毒箭阵亡，鲁肃得瘟疫病故，吕蒙病故，陆逊在二宫之争时被孙权活活逼死。
- **发言人1**：陆逊因责备孙权立太子后不应让两子争斗，被孙权逼迫而死。
- **发言人2**：蜀汉也内斗；对陆逊的印象主要来自三国杀，东吴后期政治斗争严重，大都督们没太闹好。
- **发言人1**：刘禅自知能力不行，完全放权给诸葛亮；诸葛亮去世后姜维无力回天，刘禅轻信黄皓谗言；姜维是魏国降将，若非诸葛亮提拔没有说服力，众人不服他。
- **发言人1**：魏延正史没有谋反，只是不甘心大军撤退，烧毁悬崖栈道；若非姜维断后挡住司马懿军队，后果不堪设想——无反心但行为与谋反无异，实为与杨仪的个人矛盾上升至国家层面。
- **发言人5**：三顾茅庐——刘备中原屡战屡败，深感缺乏谋士，经人推荐得知隆中诸葛亮有卧龙之才，携关羽、张飞三次拜访，前两次未见到，第三次诸葛亮被其打动，提出隆中对战略（联合孙权），最终同意辅佐刘备。
- **发言人1**：隆中对战略为横跨荆益、外结好孙权、西和诸戎，趁魏国变动时北伐；白衣渡江后蜀汉失去荆州全境，横跨荆益不成立，与结好孙权相矛盾。
- **发言人1**：诸葛亮北伐目标在关中平原和陇西（今陕西、甘肃南部），希望纵跨凉益以图中原；第一次北伐赢面大，因马谡兵败街亭而破产，后期只能拖延魏国灭蜀时间，北伐更像绝望中的抗争。
## 红楼梦版本与人物讨论
- **发言人4**：红楼梦可当爱情小说看，讲贾宝玉、薛宝钗、林黛玉的爱情故事，巧在是没有解开的谜底。
- **发言人3**：红楼梦只写了前八十回，后面是别人续写的。
- **发言人2**：有反清复明的版本解读，真正的意义估计与当时朝代、社会有关。
- **发言人4**：第一遍读高鹗续写版本时觉得挺合理，年纪小不知道后四十回不是同一作者；反复读前八十回后再接触续写，发现林黛玉性格变了很多。
- **发言人3**：第五回贾宝玉梦游太虚幻境，判词已把结局交代了。
- **发言人4**：判词没有点得那么明确，探春、史湘云的结局都是猜的，最后谁和贾宝玉在一起也没说清。
- **发言人4**：晴雯是林黛玉的替身，性格像林黛玉；袭人性格像薛宝钗；晴雯之死是曹雪芹原作所写，映照后面情节。
- **发言人2**：有解读说林黛玉代表明朝、薛宝钗代表清朝。
- **发言人4**：有人解读秦可卿是前朝公主；秦可卿是金陵十二钗正钗之一，可惜老早去世。
- **发言人4**：第五回贾宝玉在秦可卿床上睡觉做梦到太虚幻境，看到判词——十二金钗分正钗（小姐）和副钗（丫鬟），判词对应每个人命运。
- **发言人2**：疑问为何选高鹗后四十回作为官方结尾。
- **发言人4**：高鹗续写总体比较合理，官方说法是在残稿上梳理完善，未违背作者原意，但诗词能力不及曹雪芹。
- **发言人3**：北京植物园旁边村子有曹雪芹小道，之前爬山看到过。
- **发言人4**：北京植物园里有曹雪芹的故居。
# 共识形成
- **一致意见**：与会者普遍认为《三国演义》前半部比后半部更有意思，发言人2明确表示「三国到诸葛亮去世也基本就差不多了」，此观点未遭反驳；对吕蒙白衣渡江一事，发言人1与发言人2均认为其「开了个坏头」「突破底线」，吕蒙因此在后世口碑不佳。
- **倾向性认识**：发言人2受演义影响偏好蜀汉刘备阵营，认为刘备「白手起家」；发言人1则指出刘备称汉中王引发连锁反应，导致吕蒙白衣渡江、夷陵惨败，双方对刘备评价侧重不同但未正面交锋。关于魏延，发言人1主张其「没有反心，但他的行为跟谋反没什么实质上的区别」，因烧毁栈道危及大军撤退。
- **主要分歧点**：发言人2认为白衣渡江是「古代打仗比较不太道德，突破底线」；发言人1补充吕蒙因此被后世与「小偷鼠辈」画等号，二人一致。对《红楼梦》后四十回，发言人4认为高鹗续写版本「总体来说还是比较合理」，官方说法「没有违背作者原意」；发言人2则对续写结局表示「没看明白他到底是想说啥」，对合理性存疑，双方未就此达成统一。
# 待探讨问题与后续
- **未确认：** 红楼梦后四十回是否为高鹗续写及其官方定本地位，发言人2对高鹗续本为何成为官方结尾提出疑问，发言人4回应称官方说法是依据残稿梳理完善、未违背作者原意，但发言人2仍表示「没看明白他到底是想说啥」。
- **未定论：** 探春、史湘云等人物结局仅凭判词无法明确，发言人4指出「都是猜的」，未有人能确切说出最终谁与贾宝玉在一起。
- **未确认：** 红楼梦存在「反清复明」版本解读，发言人2提及林黛玉、薛宝钗分别代表明朝与清朝的说法，发言人4补充秦可卿被解读为前朝公主，均属民间解读、未获证实。
- **待核实：** 北京植物园附近存在「曹雪芹小道」，发言人3称在北苑所旁边村子爬山时见过，发言人2提及植物园内有曹雪芹故居，具体位置与史实依据未进一步核实。
- **未定论：** 三国部分对刘备称汉中王是否引发孙刘决裂存在不同看法，发言人1认为称王不妥引发连锁反应，发言人2未明确表态，仅表示受演义影响偏好蜀汉阵营。</t>
        </is>
      </c>
      <c r="D50" s="10" t="n">
        <v>47.3</v>
      </c>
      <c r="E50" t="inlineStr">
        <is>
          <t>6453/2967</t>
        </is>
      </c>
    </row>
    <row r="51" ht="13.5" customHeight="1" s="9">
      <c r="A51" s="6" t="inlineStr">
        <is>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is>
      </c>
      <c r="B51" s="2" t="inlineStr">
        <is>
          <t>小组讨论</t>
        </is>
      </c>
      <c r="C51" t="inlineStr">
        <is>
          <t># 讨论议题与背景
本次讨论由发言人1发起，延续此前《红楼梦》《三国》《水浒》《西游记》《金瓶梅》的系列话题，从兵法和战法角度切入三国战役。成员共3人，按原文编号为发言人1、发言人2、发言人3。讨论围绕赤壁之战与合肥之战的影响、火烧连营与陆逊评价、孙权军事能力与蜀汉武将评价三大议题展开。发言人1系统分析了曹操因以骑兵为主、缺乏水军而败于赤壁，东吴北伐必经合肥而孙权一生未能攻克，并详述公元215年合肥之战中张辽率800死士大败孙权十万大军的过程；随后讲述刘备在夷陵之战因体恤下属在密林扎营，被陆逊抓住秋季干燥时机火攻、连营七百里被烧的经过。发言人2对孙权评价表示前后反差，发言人3补充孙权早期败仗及蜀汉武将看法。整体以分享观点为主，未形成统一结论，对孙权军事能力评价偏负面，对关羽战力认可度较高。讨论按议题逐块推进，由发言人1主导讲述，其余成员补充与回应，并延伸至北伐路线与街亭之战假设。
# 发言要点
## 赤壁之战与合肥之战的影响
- **发言人1**：赤壁之战曹操失败主因是军队以虎豹骑等骑兵为主、擅长陆战，刚收服荆州没有像样水军，面对长江如同渡海攻坚战，过不去长江；东吴则以水军为主，双方各有所长。
- **发言人1**：东吴北伐必经合肥——从建业（今南京）过长江到江北，经小河到巢湖上岸，打下合肥后才能靠近淮河，再连徐州、鲁西南乃至海河一带；孙权一生多次攻合肥均未攻克。
- **发言人1**：公元215年合肥之战，曹军主力在攻汉中，合肥仅张辽、李典、乐进三将镇守且三人矛盾深（张辽原属吕布）；张辽率800死士骑马冲阵，大败孙权十万大军，留下「张八百大破孙十万」的段子。
- **发言人1**：合肥之战中孙权在城外扎营准备攻城，张辽突袭时吴军未及反应；张辽战后询问俘虏，得知骑术好、箭法准、上身长下身短、留小胡子的逃跑者就是孙权，后悔差点将其擒获。
- **发言人1**：合肥城内张辽跺两脚连小孩都不敢啼哭；后人吐槽孙权「正面打不过、偷盟友家专业」，南京紫金山孙权墓确切位置已失，碑前堆满张辽的影视海报和游戏卡片。
- **发言人2**：小时候看「生子当如孙仲谋」觉得孙权厉害，长大后观感反转，认为其评价偏负面。
- **发言人3**：孙权在孙十万之前也打过败仗，几万人被对方几千人追着打，对手可能是刘繇或类似人物，但具体是谁记不清。
- **发言人1**：曹操说「生子当如孙仲谋」是因为孙策传位给孙权，孙权开疆拓土不行但能守住家业，对比曹操诸子算争气的。
## 火烧连营与陆逊评价
- **发言人1**：夷陵之战刘备体恤下属，不忍酷暑折磨让士兵在密林扎营避暑；陆逊抓住秋季干燥、树叶飘落的时机放火，连营七百里被烧光，刘备只身逃回白帝城。
- **发言人2**：问陆逊是否与孙家有仇，陆家和孙家没听过有仇。
- **发言人1**：陆逊是江东四杰之一；孙策因是外来户、行事冒失被称为「小霸王」，后被刺杀。
## 孙权军事能力与蜀汉武将评价
- **发言人3**：从南往北打的成功案例除朱元璋外不好找，多数能守住首都就不错，暗指南北作战方向差异。
- **发言人1**：夷陵之战刘备被仇恨冲昏头脑而冒进；汉中之战有法正、黄权辅佐，靠地势地利把曹操耗出汉中，打得还行。
- **发言人1**：论打仗关羽很厉害，水淹七军之外还有阵中斩将——斩颜良、诛文丑，是历史上第一个阵中斩将直接改变战场局势的人。
- **发言人3**：关羽个人战力强，但水淹七军之外想不起其他部队作战战绩。
- **发言人1**：黄忠定军山阵斩夏侯渊，但可能与关羽不同，关羽是摆好阵后斩将，黄忠像是从山上冲下来。
- **发言人3**：张飞想不起经典战役，只知道长坂坡。
- **发言人1**：演义里张飞与马超在成都城下大战五百回合。
- **发言人3**：正式打仗列阵交锋方面，五子良将（张辽、曹仁、夏侯渊、张郃、徐晃、于禁）战力受认可，张辽是从吕布降过来的。
- **发言人1**：曹操兵多血厚耗得起；若诸葛亮第一次北伐用魏延守街亭，大概率能反杀张郃，不会像马谡那样轻易丢掉街亭，北伐可能成功；但魏延想法大胆，不符合蜀汉实际支撑。
- **发言人3**：蜀汉地盘太小，支撑不起魏延的冒险打法。
# 共识形成
- **一致意见**：赤壁之战与合肥之战均体现水军与骑兵的作战差异——曹操因以骑兵为主、缺乏水军而败于赤壁；东吴北伐必经合肥，孙权一生未能攻克，公元215年合肥之战中张辽率800死士大败孙权十万大军，孙权本人险被俘虏。与会者认同孙权军事能力评价偏负面，认为其守成有余、开疆不足。
- **倾向性认识**：对蜀汉武将战力，发言人1与发言人3倾向认可关羽，认为其有阵中斩将战绩（斩颜良、诛文丑），黄忠定军山阵斩夏侯渊亦获认可；张飞缺乏经典战役，仅知长坂坡。发言人1提出若魏延守街亭可能反杀张郃，但魏延想法不符合蜀汉实际，发言人3以「地盘太小了」表示认同。
- **主要分歧点**：发言人3提及孙权在孙策刚死时曾以数万人被几千人追打，但具体对手与战役名称未能确认，发言人1先后猜测刘表、张辽、曹仁、刘琦等均被发言人3否定，该战役细节未定论。
# 待探讨问题与后续
- **未确认**：发言人3提到的孙权早期败仗的具体对手和战役未确认，其仅描述为「孙策刚死的时候」、对手「不是刘表」、在张辽之前，发言人1先后猜测「刘琦时期」「曹仁时期」均未获确认。
- **未定论**：关于关羽阵中斩将是否为「历史第一人做到」的讨论未达成定论，发言人3提出此说法，发言人1以黄忠定军山阵斩夏侯渊作对比，发言人3认为两者情况不同（关羽为摆好阵后斩将，黄忠可能为从山上冲下），但未进一步核实。
- **未定论**：若诸葛亮第一次北伐时以魏延守街亭能否反杀张郃、北伐能否成功，仅为发言人1的假设性判断，发言人3仅回应「这地盘太小了」，未展开讨论。
- **未确认**：发言人3提及孙权早期另有一场「几万人被几千人追着打」的败仗，但对手姓名（「刘油」「刘有」等）始终未能回忆确认。</t>
        </is>
      </c>
      <c r="D51" s="10" t="n">
        <v>40.7</v>
      </c>
      <c r="E51" t="inlineStr">
        <is>
          <t>4899/2473</t>
        </is>
      </c>
    </row>
    <row r="52" ht="13.5" customHeight="1" s="9">
      <c r="A52" s="6" t="inlineStr">
        <is>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is>
      </c>
      <c r="B52" s="2" t="inlineStr">
        <is>
          <t>专题讲座</t>
        </is>
      </c>
      <c r="C52" t="inlineStr">
        <is>
          <t># 讲座概况
本次专项讨论会由主讲人（原文未提及姓名）讲解苏阿战争（1979—1989年苏联入侵阿富汗战争）的背景、经过与结果，形式为专题讲解加听众提问。讲座面向对冷战史与地缘政治感兴趣的听众，旨在说明阿富汗的战略地位与“帝国坟场”成因。内容围绕四个板块展开：阿富汗地理与历史背景、苏联出兵经过、各方援助与游击战、苏联撤军原因。核心判断有三：其一，阿富汗地处亚洲中间走廊，谁控制阿富汗谁就控制亚洲咽喉；其二，其国土90%为高原山地、乡村由部落长老制控制，使外部力量难以有效统治；其三，苏联出兵阿富汗属战略性失误，最终被人民战争消耗至撤军。关键锚点包括1979年12月24日平安夜苏联突袭喀布尔、1989年苏联撤军、美国援助“毒刺”防空导弹压制苏军武装直升机。对听众而言，本讲有助于理解冷战格局下大国干预的代价及阿富汗问题的历史根源。
# 核心观点与论证
## 阿富汗是亚洲咽喉与帝国坟场
- **地理位置**：阿富汗东接中国，北邻塔吉克斯坦，南接巴基斯坦、锡林、伊朗，被称为亚洲的中间走廊地带，是兵家必争之地。
- **地形特征**：国土90%为高原山地地带，易守难攻，是天然的游击战地区，历史上多次获得帝国坟场称号。
- **控制意义**：谁控制了阿富汗，谁就控制住了亚洲的咽喉。
- **资源状况**：阿富汗是贫油国，但周边国家如西边的伊朗、北边的土库曼斯坦和塔吉克斯坦都是富油国。
## 苏联出兵阿富汗的背景与经过
- **战前态势**：20世纪50年代，阿富汗同时与苏联及西方国家保持友好交往，实行君主立宪制，国内精英阶层奉行亲英与亲苏两头政策，文化上师从英国，国家建设和工业方面向苏联看齐。
- **阿明转向**：基辛格评价阿明是用的苏联的火柴点美国的香烟，阿明对苏联日益干涉内政不满并过度导向美国，苏联高层政治局决定在阿富汗彻底导向美国之前武力介入。
- **入侵过程**：1979年12月24日平安夜，苏联以阿富汗请求救援的说法，从东部、中部及西部（塔吉克斯坦、土库曼斯坦方向）分路推进，一个晚上控制喀布尔政府高层，处决阿明一家，扶植代理人卡尔迈勒上台。
- **国际反应**：众多阿拉伯国家、中国和西方盟国共同不满抵触，合力援助阿富汗，由阿富汗和穆斯林国家出动兵源，中国和西方盟国出动武器与情报资源，支持阿富汗抵抗组织进行长达十年的游击战争。
## 苏联出兵是战略性失误
- **勃列日涅夫逻辑**：阿富汗被苏联化为苏联大家庭中的一员，根据勃列日涅夫逻辑不允许任何成员外出，类似之前出兵捷克，阿富汗是必须要下场的。
- **冷战背景**：同时期处于苏攻美守时期，苏联咄咄逼人进行意识形态扩张及军事霸权恐吓，共同导致苏联出兵阿富汗。
- **战略错判**：阿富汗是非常特殊的战略要地，加上苏联的错判，导致苏联大大的战略性失误。
## 阿富汗难以被外部力量控制
- **部落结构**：除喀布尔和坎大哈等主要城市外，90%地区为乡村部落长老制，政府没有任何控制力，各村落与部落各自为政，任何列强及城市政府无法对高原山地形成有力控制。
- **中国援助**：中国帮助阿富汗圣战抵抗者，教授抗战时期的地道战、地雷战等战法，与苏联持续进行游击战争。
- **美国援助**：美国援助了先进的单兵武器毒刺防空导弹（类似火箭筒），可有效压制苏联最先进的雌鹿武装直升机。
- **苏军困境**：坦克和步兵战车在阿富汗无法形成有效战斗力，因这些装备主要用于平原地带，高原山地需步兵加武装直升机才能有效作战；苏联军事实力看似庞大但武器发挥不了作用，基层官兵普遍厌战，士气一落千丈，最终1989年撤军。
## 圣战者的作战思想
- **思想特征**：圣战者具备狂烈激进的伊斯兰圣战思想，以及从上到下宗教式洗脑，导致其像二战时期日本军国主义荼毒下的日本军民一样，抱着同归于尽的思想进行圣战。
## 中国对阿富汗的援助方式
- **武器援助**：中国提供了与AK47同样型号的五六式冲锋枪和五六式半自动步枪，通过援助形式将已饱和的军工业产业稀释掉。
- **合作默契**：中国与西方盟国为抵抗苏联霸权主义达成秘而不宣的默契。
- **人员派遣**：中国只提供军火和兵法指导，派专家教授地道战、地雷战，但未派人参战。
# 金句总结
&gt; 谁控制了阿富汗，谁就控制住了亚洲的咽喉。
- 回答听众关于阿富汗为何被多国争夺的提问，点明其地理位置的关键性。
&gt; 阿富汗多次获得其帝国坟场的称号。
- 讲述阿富汗历史时，概括列强入侵屡遭失败的结局。
&gt; 基辛格评价阿富汗当时的国王阿明，说是用的苏联的火柴在点的美国的香烟。
- 描述阿富汗在美苏之间两头要好处、左右逢源的处境。
&gt; 苏联的军事实力看似庞大，但实际上它的武器发挥不了任何的作用。
- 分析苏联重装部队在阿富汗高原山地无法有效作战、最终撤军的原因。
&gt; 苏军的士气也是一落千丈。
- 说明苏联基层官兵普遍厌战、不明白为何而战，导致战斗力与士气崩溃。
&gt; 咱们国家当时也是帮助那个阿富汗圣战抵抗者，教他们兵法，就比如说咱们以前抗战时期所用的，比如地道战、地雷战这样的一个战法。
- 介绍中国对阿富汗抵抗组织的援助方式，即提供兵法指导而未直接派兵。
# Q&amp;A 环节
**听众**：阿富汗到底有啥好呀？为啥都想打它？
**主讲人**：地理位置的原因，谁控制了阿富汗，谁就控制住了亚洲的咽喉。
**听众**：是不是阿富汗有石油啊？
**主讲人**：它这个国家相对来说是个贫油国，但它周边的国家都是富油国，比如西边的伊朗，北边的土库曼斯坦和塔吉克斯坦。
**听众**：其实这个我感觉得用当时的冷战思维来看，因为阿富汗当时被苏联化为苏联势力、苏联大家庭中的一员。根据勃列日涅夫的逻辑，是不允许任何一个成员外出的，所以就像之前出兵捷克一样，这次阿富汗他是必须要下场的，而阿富汗是一个非常特殊的战略要地，加上苏联这个错判，导致苏联大大的战略性失误。
**主讲人**：对的，同时期冷战的状态也是苏攻美守时期，苏联咄咄逼人地进行意识形态的扩张以及军事霸权的恐吓，共同导致了苏联出兵阿富汗。
**听众**：之前看那个阿富汗那边把那个部队叫什么圣战者，这个是什么意思？
**主讲人**：就是狂烈的激进的伊斯兰圣战思想，以及从上到下那种宗教式洗脑，导致阿富汗圣战者具备像二战时期日本军国主义荼毒之下的日本军民那样，不顾一切地抱着同归于尽的思想进行圣战。
**听众**：其实这次苏阿战争之前，已经有三次英阿战争，阿富汗被称为帝国坟场，可以简单说一下为什么这个位置这么难打？虽然它的国土面积没有那么大，经济实力又没有那么好。
**主讲人**：因为这个国家百分之九十都是处于高原山地地带，是一个天然的游击战地区。除了喀布尔和坎大哈那几个主要城市以外，剩下大部分百分之九十的地区都是乡村部落长老制，政府没有任何控制力，由部落长老控制，各个村落与部落各自为政，导致任何列强以及阿富汗的城市政府都无法对广大的高原山地形成有力控制。同时期咱们国家帮助阿富汗圣战抵抗者，教他们抗战时期所用的地道战、地雷战等战法，和苏联持续进行游击战争；美国也援助了比较先进的单兵武器，比如毒刺防空导弹，可以有效压制苏联最先进的武装直升机雌鹿。坦克和步兵战车在阿富汗无法形成有效战斗力，因为这些装备主要用于平原地带，在高原山地还是要以步兵加武装直升机才能形成有效战斗力。苏联军事实力看似庞大，但武器发挥不了作用，基层官兵普遍厌战，士气一落千丈，最终1989年扛不住压力撤军。
**听众**：咱们男生基本都说完了，都说过一遍了。
**主讲人**：也是给了一些枪炮，比如咱们给的和AK47同样型号的五六式冲锋枪和五六式半自动步枪，通过援助的形式把咱们国家已经饱和的军工业产业稀释掉，同时大家为了抵抗苏联霸权主义和西方盟国达成了一种秘而不宣的默契。
**听众**：只提供军火，但是没有派人。
**主讲人**：专家派的主要就教一些兵法、地道战、地雷战这一块的。</t>
        </is>
      </c>
      <c r="D52" s="10" t="n">
        <v>43.7</v>
      </c>
      <c r="E52" t="inlineStr">
        <is>
          <t>3129/3290</t>
        </is>
      </c>
    </row>
    <row r="53" ht="13.5" customHeight="1" s="9">
      <c r="A53" s="6" t="inlineStr">
        <is>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is>
      </c>
      <c r="B53" s="2" t="inlineStr">
        <is>
          <t>小组讨论</t>
        </is>
      </c>
      <c r="C53" t="inlineStr">
        <is>
          <t># 讨论议题与背景
本次讨论由4位发言人（发言人1、发言人2、发言人3、发言人4）围绕各国文学特点展开漫谈式分享，由《白夜行》的悬疑叙事与阴暗结局切入，借《菊与刀》引出对日本民族性格的观察，随后依次比较法国、英国、俄国、美国文学在底层描写、抗争精神与理想主义上的差异，并延伸至中国底层文学的政策限制、台湾电影《假如我是真的》与上山下乡历史背景、苏联时期作家作品，最后以《西游记》狮驼岭章节的黑暗解读收束。讨论以分享观点为主，未形成统一结论，整体按议题逐块推进，从日本文学出发，经多国文学比较，再转入历史社会背景与具体作品解读，发言间相互补充与引申。
# 发言要点
## 日本文学《白夜行》讨论
- **发言人1**：《白夜行》是悬疑小说，叙事手法独特，上来都是隐藏信息，让人一直猜不到真相，每个人都有嫌疑，但结局非常阴暗。
- **发言人2**：美国作家本尼迪克特《菊与刀》生动描绘了日本人性格特点，《白夜行》也能体现这一点，并由此引出各国文学偏好话题。
## 各国文学特点比较
- **发言人2**：法国文学体现浪漫的理想主义精神和奉献，尤其在《悲惨世界》中生动体现。
- **发言人4**：法国相对英国小说，描绘底层民众更多一些，英国的多是贵族生活。
- **发言人1**：法国挺爱革命，有抗争精神；英国想维持他们那套，法国确实革命了好多。
- **发言人2**：英国后期土地承载不了人口膨胀，以英国、爱尔兰为主带头移民北美新大陆，这是根本原因。
- **发言人1**：英国像《圣诞欢歌》《雾都孤儿》也讲底层，写贵族和穷人之间有鸿沟，穷人把希望寄托在宗教或虚无的东西上。
- **发言人2**：美国历史短，叙事风格不同于欧洲，更多表现在现代社会，与欧洲理想主义的精神图腾不太一样。
- **发言人1**：美国历史太少，美洲大陆没发生欧亚大陆那么多悲惨事情，相对还是幸福的，如《了不起的盖茨比》。
- **发言人2**：北美大平原农业资源广阔，美国今天经济不好也永远不缺粮食；欧亚大陆的瘟疫、大饥荒在美国从未发生过，美国人无法真正理解饥荒为何物。
- **发言人1**：电影《一九四二》讲的就是大饥荒和战乱。
- **发言人2**：日本人能打垮国民党军队，是因为给灾民发放粮食，而国民党对灾区视而不见，结果日本人占领了河南省大部地区。
- **发言人1**：有人打仗给日本人报情报换取粮食，这是人性，没办法。
## 中国底层文学与历史背景
- **发言人1**：国内写底层的其实写得很深刻，像《平凡的世界》，但好多因政策原因不让看了，以前很多根据底层小说改编的电影也不让看。
- **发言人2**：台湾电影《假如我是真的》改编自俄国果戈里《钦差大臣》，结合文革知青上山下乡真实事件，上世纪七十年代末、八十年代初拍摄。
- **发言人2**：当时台湾和大陆搞舆论宣传战、意识形态攻略，台湾把大陆上山下乡、文革时期的不公通过电影批判出来。
- **发言人1**：他们批判自己，也批判平衡，台湾总会拍电影。
## 俄国文学与苏联时期作品
- **发言人2**：个人比较喜欢契诃夫，如《变色龙》《装在套子里的人》《凡卡》。
- **发言人2**：苏联时期喜欢格罗斯曼，他是红军战地记者，写了《命运与生活》，以小说方式出版红军后期进入欧洲后看似不公的问题，从平民视角看苏联红军的基层真实形象。
- **发言人2**：《古拉格群岛》真正把人性黑暗面批判出来，最早出版版本是法语版，俄语版要等苏联解体后才发行。
- **发言人2**：俄国文豪如列夫·托尔斯泰是前线俄军，把老百姓疾苦、不公与贵族奢华对比讽刺；因沙俄新闻管制严厉，以小说方式发表。
- **发言人2**：俄国文学与法国文学有相似也有不同，对人性丑恶的揭露与批判更为讽刺，《古拉格群岛》和契诃夫作品都是表现。
- **发言人2**：高尔基《海燕》是老百姓被压迫久了之后的呐喊和挣扎，是走投无路后奋起的反抗。
- **发言人1**：苏联时期作者挺多，但看得很少，反倒是高尔基因为正面宣传看得比较多。
- **发言人1**：初中高中时有英语读物要求中英对照读名著，自己不看英语只看汉语，觉得挺有意思。
## 《西游记》狮驼岭章节解读
- **发言人2**：狮驼岭章节生动揭露佛教世界的虚伪，佛门三大圣兽青狮、白象和大鹏偷下界，把城池所有人吃掉，扶植小妖成为国家公民。
- **发言人2**：唐僧师徒路过时满国尸骸遍地，孙悟空都不战而弃、发抖；原著描写人皮当地毯、骷髅头骨当装饰物和器具，此地距离灵山不过500公里左右。
- **发言人2**：这与佛门所说普度众生、众生平等大相径庭；旧社会西藏王公大臣就是这种状态，共产党没解放西藏悲剧会延续到今天。
- **发言人2**：吴承恩在古代就预测并批判揭露佛教在部分地区是上层王公大臣迷惑底层民众、高压奴役的统治工具，这是汉传佛教和藏传佛教截然不同的本质。
- **发言人4**：问狮驼岭是啥，这个是不是没有拍到电视剧。
- **发言人2**：有拍，但没把那些惨案讲得那么生动，最后佛祖出手收回，孙悟空终究要被大鹏精打败，大鹏精是全书唯一能遛猴子的反派。
- **发言人1**：电视剧就拍几个妖精是大王，过去全给干了；黑神话悟空也没设计那一章，太血腥不好过审，而且意义深刻，剧情既要委婉又要深刻很难。
# 共识形成
- **一致意见**：与会者普遍认同《白夜行》叙事手法独特、结局阴暗，并认可《菊与刀》对日本人性格特点的描绘；在各国文学比较中，**法国文学体现抗争精神与浪漫理想主义（如《悲惨世界》）**、英国文学多描写贵族生活、俄国文学对底层民众的描绘更生动且对人性丑恶的揭露与批判更为讽刺（如契诃夫、托尔斯泰、《古拉格群岛》）、美国文学历史短且多表现现代社会，这些判断得到多人呼应。
- **倾向性认识**：发言人1与发言人4认为法国文学比英国文学更侧重描绘底层民众，英国文学多写贵族生活；发言人2补充法国文学具有浪漫理想主义精神与奉献色彩。发言人2认为俄国文学在底层描写上比法国更生动，发言人4回应俄国文学戏剧性更明显、更曲折。
- **主要分歧点**：在底层文学受限问题上，发言人1主张国内底层文学（如《平凡的世界》）因政策原因受限，发言人2则以台湾电影《假如我是真的》为例，指出其结合俄国《钦差大臣》与文革知青上山下乡事件，是台湾对大陆舆论宣传战的产物——两人对国内底层文学受限原因的判断口径不一致（政策限制 vs 两岸舆论对抗背景）。在《西游记》狮驼岭解读上，发言人2认为该章节批判佛教被上层利用、汉传与藏传佛教本质不同，发言人1与发言人4未直接反驳，但仅就电视剧与游戏未充分展现该章节黑暗内容（人皮地毯、骷髅装饰等）表示认同，未对发言人2的宗教批判结论表态。
# 待探讨问题与后续
- **未确认**：发言人1提到国内底层文学（如《平凡的世界》）「因政策原因不让你看了」，但未说明具体政策依据或哪些作品受限，此说法仅为个人观点，未获其他成员证实或展开。
- **待核实**：发言人2称《古拉格群岛》「最早出版的版本还是法语版的，俄语版的还要等到苏联解体之后才发行」，此版本时间线未在讨论中进一步核实。
- **未确认**：发言人2称台湾电影《假如我是真的》「改编自俄国小说《钦差大臣》并结合文革知青上山下乡事件」，发言人3当场追问「他讲的是啥呀」，发言人2以「先不剧透」回避，影片具体情节与改编关系未展开说明。
- **未定论**：发言人2认为《西游记》狮驼岭章节中吴承恩批判佛教被上层利用、汉传佛教与藏传佛教「本质截然不同」，此解读为发言人2个人观点，其他成员未表示认同或反对，也未就此达成一致。
- **未确认**：发言人2称狮驼岭章节「此地距离灵山也不过500公里左右」，并以此类比西藏与菩提迦耶的距离，该地理数据未在讨论中核实。
- **未定论**：发言人1提到《黑神话：悟空》未设计狮驼岭章节，推测「不太好过审」「太血腥」，但未确认游戏方是否确有相关设计或删减安排，仅为猜测。</t>
        </is>
      </c>
      <c r="D53" s="10" t="n">
        <v>44.9</v>
      </c>
      <c r="E53" t="inlineStr">
        <is>
          <t>5886/3302</t>
        </is>
      </c>
    </row>
    <row r="54" ht="13.5" customHeight="1" s="9">
      <c r="A54" s="7" t="inlineStr">
        <is>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is>
      </c>
      <c r="B54" s="7" t="inlineStr">
        <is>
          <t>通用纪要</t>
        </is>
      </c>
      <c r="C54" t="inlineStr">
        <is>
          <t># 全文摘要
本次例会由产品经理主持，产品、开发1、开发2参与，围绕手机图库项目进展，对齐了智能分类与相册推荐改版、AI智能标签接口、同步模块、缩略图渲染、时间轴加载优化、AI修图预留及里程碑计划等议题。产品侧汇报高保真原型V1.5版已出，用户调研反馈隐私相册入口太深，产品经理同意将入口提升至首部顶部二级菜单并要求出交互方案评审。开发侧同步多项技术进展：AI标签V2模型准确率提升约88%，但单次请求耗时从800毫秒增至约1.5秒，决定采用本地缓存策略并采纳端侧预过滤方案；同步模块因队列积压超1000张导致部分机型OOM崩溃，维持分片加载方案；缩略图渲染改用新解码库，内存占用降约30%，主流机型帧率稳定60帧；时间轴采用本地索引预加载方案。AI修图本次不实现，预留接口和插件化架构。里程碑按原定计划月底封版，内测包暂定下周三发。
# 分段速览
## 00:00:00-00:01:23 开场与产品侧进展
产品经理开场说明会议目的：过手机图库项目整体进展，对齐排期与潜在风险，按产品侧、开发侧、总结的顺序进行。产品侧汇报近两周重点推进智能分类和相册推荐改版，高保真原型已出V1.5版，调整了网格视图交互逻辑和长按微动效反馈。测试反馈低端机上滑列表偶尔掉帧，已与开发2沟通，拟通过降低预览图缩放级别换取帧率。用户调研收到不少关于隐私相册入口太深的吐槽，建议下一版将入口提到首部顶部二级菜单。产品经理回应：隐私相册入口提升不算大改动，同意推进并要求出交互方案评审；掉帧问题需抓紧，下周将进入性能压测。
## 00:01:51-00:03:19 AI标签接口与同步模块问题
开发1汇报AI智能标签接口进展：V2版识别模型已跑通，准确率较上一代提升约88%，但因新增视频帧提取功能，单次请求耗时从800毫秒涨至约1.5秒，需产品侧评估用户接受度，备选方案是改异步推送。产品反对异步推送，认为用户点开相册无实时结果会感觉功能卡死，提出先做本地缓存策略——首次识别慢、之后本地读库秒出。开发1确认可行，计划下午拉分支改逻辑，预计三天联调完，但提示缓存命中率低时仍需回溯。开发1同时提出云相册同步模块断点续传在弱网环境下出现状态机紊乱。开发2反馈同步队列积压超1000张时部分机型出现OOM崩溃，iOS尤其严重，已采用分片加载机制每次拉50张，但会拖慢同步进度，需与产品商量是否加后台静默同步权限或允许用户手动设置同步频率。
## 00:03:57-00:05:03 同步方案与缩略图渲染优化
产品经理指出后台同步权限审核严、大概率下不了，决定维持分片加载方案但进度不能拖。开发2汇报缩略图渲染优化：改用新图片解码库，将JPEG硬解换为软解，内存占用降约30%但CPU占用上升；已在主流三款机型灰度，帧率稳定60帧、低端机约50帧，周四性能报告今晚可出初稿。另提出批量删除照片时若同时触发回收站重建索引，数据库偶尔锁死，已用消息队列排队处理作临时规避，正式修复预计排到下下周版本。产品经理决定临时规避先稳住，正式修复排进V1.2迭代。
## 00:05:35-00:07:25 端侧预过滤与时间轴加载优化
产品经理提出端侧预过滤思路：先用轻量级模型扫一遍，过滤明显非图片的gif或截图，剩余再走全量云端识别，预计可将平均耗时压下一半。开发1认可该思路，将评估模型体积和端侧推理开销，若放端侧跑需再申请200兆本地缓存空间，请产品评估对安装包体积的影响。产品回应安装包加两三百兆问题不大，建议做成按需加载——用户首次进图库智能标签时才触发下载，平时不占空间，开发1确认可用现有资源下发模块实现，约两天搞定，并拉开发2配合端侧推理联调。开发1另提出时间轴视图加载问题：测试提了三个优高优Bug，滑动到二十年前老照片时页面卡死三秒以上，原因是历史图片EXIF解析耗时加磁盘IO瓶颈，准备加本地索引预加载，最近三个月照片建树状结构、滑到底部动态加载旧数据。产品经理同意改动，但提醒注意别与云同步模块抢资源。开发2确认不会冲突——预加载放主线程IO池、同步放子线程后台服务，但预加载需用户授权媒体和存储权限，若首次拒绝需引导弹窗，弹窗交互由产品设计。
## 00:07:48-00:09:42 AI修图预留与管线重构
产品提出运营希望下版本加AI修图快捷入口（一键去背景、智能调色），本次排期可能塞不进去，想提前占坑、架构上留好接口。产品经理决定本次主线是性能和分类，不硬塞AI修图，在PRD里先写好接口逻辑和UI占位，开发侧把模块抽象成插件化架构，下次迭代直接接入；后端接口按标准RESTful加Swagger文档输出。开发1确认微服务架构下按规范出文档很轻松，同时指出端侧若预留AI修图渲染通道，需重构当前耦合较深的图片处理管线。开发2表示近期也在考虑管线优化——现在每加滤镜就得改底层代码，拟将渲染层抽成插件化、用GLSL写统一接口，工作量约多一周，需产品经理确认能否把非核心Bug修复往后挪。产品经理同意调整优先级，非核心UI微调往后排，资源给到管线重构和AI标签优化，要求开发2今天下班前评估精确工作量，开发1排联调时间、尽量周五前跑通主干流程。
## 00:10:19-00:12:18 里程碑与内测安排
产品确认下午定稿隐私相册入口和引导弹窗稿子，明天上午拉UI走查，同时制作AI修图占位图保持视觉一致性，并询问项目里程碑与内测包时间。产品经理确认里程碑按原定计划月底封版，内测包暂定下周三发，届时拉体验官群重点跑AI分类和同步模块，产品准备反馈收集表、开发准备日志抓取。开发1提出需与数据库组对齐索引策略，产品经理同意拉群让DBA配合优化建表。开发2确认今晚继续跑分片加载和渲染优化压测数据，并询问周四性能评审是否将iOS和安卓对比数据单独列版，产品经理同意分开列、由测试组合并为一份总览。产品经理下午两点参加UI走查，产品承诺十一点半前发稿。会议结束。
# 要点梳理
## 智能分类与相册推荐改版
- **高保真原型**：已出V1.5版，调整网格视图交互逻辑，长按手势增加微动效反馈
- **低端机掉帧**：测试反馈上滑列表偶尔掉帧，计划通过降低预览图缩放级别改善，已与开发2沟通
- **隐私相册入口**：用户调研反馈入口太深，建议下一版提升至首部顶部二级菜单；产品经理同意，不算大改动，要求出交互方案评审
## AI智能标签接口与性能
- **模型升级**：V2识别模型已跑通，准确率较上一代提升约88%
- **耗时问题**：新增视频帧提取功能后，单次请求耗时从800毫秒增至约1.5秒
- **异步推送方案**：产品明确反对，认为用户点开相册无实时结果会感觉功能卡死
- **本地缓存策略**：采用首次识别慢、之后本地读库秒出的方案；开发1下午拉分支改逻辑，预计三天联调完；缓存命中率低时仍需回溯
- **端侧预过滤**：先用轻量级模型过滤gif或截图，再走云端识别，预计平均压一半耗时；需评估模型体积和端侧推理开销，可能申请200兆本地缓存空间
- **按需加载**：用户首次进智能标签时才触发下载，平时不占空间；用现有资源下发模块即可，预计两天完成
## 同步模块与内存管理
- **OOM崩溃**：同步队列积压超1000张时部分机型崩溃，iOS内存回收机制激进尤其严重
- **分片加载**：已实施每次拉50张、处理完再拉下一批的机制，但会拖慢同步进度
- **后台同步权限**：审核严，大概率无法申请；决定维持分片加载方案，但进度不能拖
## 缩略图渲染与性能优化
- **解码库优化**：JPEG硬解换软解，内存占用降约30%，CPU占用上升
- **灰度测试**：主流三款机型帧率稳定60帧，低端机约50帧；周四性能报告初稿今晚出
- **数据库锁死Bug**：批量删除照片同时触发回收站重建索引时偶发锁死，已用消息队列排队临时规避；正式修复排进V1.2迭代
## 时间轴视图加载优化
- **卡死问题**：滑动到二十年前老照片时页面卡死三秒以上，测试提了三个优高优Bug
- **根因**：历史图片EXIF解析耗时过长，叠加磁盘IO瓶颈
- **预加载方案**：最近三个月照片建树状结构，滑到底部动态加载旧数据；需与云同步模块隔离资源
- **权限引导**：预加载需用户授权媒体和存储权限，拒绝时需引导弹窗；产品明天出稿，走柔和提示路线
## AI修图功能预留
- **需求来源**：运营反馈希望下版本加AI修图快捷入口（一键去背景、智能调色）
- **本次范围**：不硬塞进当前迭代，主线为性能和分类；在PRD中预留接口逻辑和UI占位
- **插件化架构**：开发侧将模块抽象，端侧重构图片处理管线，用GLSL写统一接口；工作量约多一周
- **后端接口**：按标准RESTful加Swagger文档，便于后续迭代对接
## 结论与决定
- **隐私相册入口**：提升至首部顶部二级菜单，产品出交互方案评审
- **AI标签方案**：采用本地缓存策略加端侧预过滤，按需加载；开发1与开发2配合联调
- **同步模块**：维持分片加载方案，每次拉50张，进度不能拖
- **缩略图渲染**：采用新解码库优化，临时规避方案先稳住，正式修复排进V1.2
- **时间轴优化**：采用本地索引预加载，注意与云同步模块资源隔离
- **AI修图**：本次不实现，预留接口和插件化架构，非核心Bug修复往后排
- **里程碑**：按原定计划月底封版，内测包暂定下周三发
## 行动项与分工
- **发言人2（产品）**：下午定稿隐私相册入口和引导弹窗稿子，明天上午拉UI走查；制作AI修图占位图；准备反馈收集表；十一点半前将UI稿发给产品经理
- **发言人3（开发1）**：下午拉分支改本地缓存逻辑，预计三天联调完；评估端侧预过滤模型体积和推理开销；按需加载预计两天完成；拉开发2配合端侧推理联调；今晚搭好接口联调环境，明天与测试过一遍；拉群与DBA对齐索引策略
- **发言人4（开发2）**：今晚继续跑分片加载和渲染优化压测数据，明天同步；评估AI修图管线重构工作量，今天下班前发给产品经理
- **产品经理**：周四参加UI走查；要求测试组将iOS和安卓性能报告合并为一份总览；调整非核心Bug优先级，资源给到管线重构和AI标签优化
## 待确认与风险
- **端侧预过滤**：模型体积和端侧推理开销待评估；需申请200兆本地缓存空间，对安装包体积的影响待产品评估
- **AI修图插件化**：具体实现方案待开发2评估工作量
- **权限引导弹窗**：交互设计待产品出稿
- **低端机掉帧**：上滑列表掉帧影响用户体验
- **AI标签耗时**：单次请求从800毫秒涨至1.5秒，可能影响用户等待体验
- **OOM崩溃**：同步队列积压超1000张时部分机型崩溃，iOS尤其严重
- **数据库锁死**：批量删除照片时偶发，影响数据一致性
- **时间轴卡死**：滑动到老照片卡死三秒以上，影响核心功能体验
- **权限拒绝风险**：预加载需用户授权，若拒绝可能影响功能使用
- **后台同步权限**：审核严，可能无法申请</t>
        </is>
      </c>
      <c r="D54" s="10" t="n">
        <v>71.40000000000001</v>
      </c>
      <c r="E54" t="inlineStr">
        <is>
          <t>3605/4587</t>
        </is>
      </c>
    </row>
    <row r="55" ht="13.5" customHeight="1" s="9">
      <c r="A55" s="7" t="inlineStr">
        <is>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is>
      </c>
      <c r="B55" s="7" t="inlineStr">
        <is>
          <t>通用纪要</t>
        </is>
      </c>
      <c r="C55" t="inlineStr">
        <is>
          <t># 全文摘要
本次月度研讨会由总监主持，组长、销冠、销售A、销售B共同参与，围绕上月销售数据复盘与下月去化目标制定展开。会议覆盖销售数据复盘、工地开放日标准化、逼定策略、渠道带看管控、老带新政策、目标分解、专项培训及销控纪律等议题。核心结论为量够但转化不足，需重点提升逼定和转化环节，并明确下月总去化目标120套、工地开放日每周三固定开放、渠道带看实名制、周末业主答谢会联动去化等关键决定。上月案场总到访320组、成交76套、转化率23%，下月目标较上月增加50%。
# 分段速览
## 00:00:00-00:01:17 开场与整体数据复盘
总监宣布月度研讨会定于下午两点至两点四十，共四十分钟，指出上月市场波动大、项目整体去化尚可但部分数据不理想，要求组长先过核心指标。组长汇报后台完整数据：上月案场总到访三百二十组，环比增加百分之十五，数据达标；但成交七十六套，转化率百分之二十三，较上月百分之二十七下降四个百分点；渠道带看占比百分之六十五，自然来访仅百分之三十五；蓄客量约三千二百组，认购到成交流失率约百分之十八。总监总结为量够但卡在逼定和转化环节，并指出渠道带看比例过高意味着自主拓客和案场拦截能力在退化。
## 00:01:53-00:03:36 客户流失抗性分析与工地开放日建议
销冠复盘上月流失客户，集中在两个抗性：价格预期方面竞品推特价房、首付分期或送物业费，客户有心理落差；交付信心方面客户对园林选材、地下车库层高、外墙保温层等细节询问细致，怕买错，建议把工地实时进展和材料样板直接呈现。销售A分享改善型客户案例，带看三次并让客户直接问施工经理，客户因工程透明才定房，但工地开放日频率不够、陪看占时间影响转化。组长建议设固定节点，每周三下午固定开放，提前在客户群和朋友圈发预告，客户直接对接专属顾问。总监认可并要求组长出方案，定每周三、提前两天在CRM系统推送意向客户。
## 00:04:22-00:06:12 逼定策略与物料更新
销冠分享逼定手法：不直接降价，而是算总账，将物业费、车位管理费、未来装修损耗拉表对比竞品，强调单价虽高两千但十年省下物业和品质维修维护费，再递上“限时权益”逼定函，承诺本周定下来亲自申请多送三年物业费，客户怕错过、看重确定性。销售B指出客户对“限时权益”不买账，需将权益具象化，如把三年缴费明细打印放在合同旁；同时反映案场物料更新慢，逼定函常是上月版本。组长记录物料问题，联系设计本周出新版，把权益条款写清楚，并计划下月制作“权益可视化”台卡放在洽谈区；同时指出跟进节奏慢，客户晚上问政策回复慢热度下降。
## 00:06:12-00:08:27 跟进提速与渠道管控
总监强调客户不过夜，要求分片包干：组长带销售A和销售B回访上周未成交的三百多组，重点盯“再考虑考虑”的客户；销冠梳理手头二十几个高意向客户，看能否周末逼定。针对渠道无效带看多、中介随便拉人凑数的问题，总监要求下月起带看必须实名登记并有明确需求标签，否则扣减渠道积分。销售A反映中介抵触，担心渠道不愿推盘，总监表示渠道部由他沟通，质量大于数量底线不能破，带看质量不行直接换备选。销售B汇报老带新进展：奖励政策为成功一套奖励两万现金或等值车位券，本月推四组、两组在谈，老业主需话术和礼品支持。组长准备定制伴手礼，包括高端茶叶礼盒和定制保温杯。
## 00:08:43-00:10:08 老业主痛点与目标分解
销冠指出老业主怕麻烦，建议搞“业主推荐官”活动，每成功推荐一套不仅给钱，还可升级物业服务等级，如优先预约维修、免费家政清洗一次，软性权益更易在小区群传播。总监认可软硬结合，要求组长下周前出详细执行表。随后总监宣布下月集团指标为总去化一百二十套，比上月多百分之五十。组长按人员配置和上月产出权重拆分：销冠目标二十八套，组长、销售A、销售B三人一组目标五十套，剩余十二套作为机动和渠道攻坚储备。总监确认拆分合理，但强调压力在销售A和销售B身上。
## 00:10:19-00:12:10 表态与周末答谢会安排
销售A表态能扛，手头有十五个准客户在等下周认筹通知，只要逼定话术统一、配合组长资源倾斜，五十套盘子三人能完成，但希望渠道带看质量再筛一筛。销售B计划周末搞小型业主答谢会，邀请已成交业主分享并推老带新政策，氛围好能提升转化率。销冠表示支持，可带人协助盯两桌，其改善型客户与答谢会客群重合度高，可做联动把高意向客户拢到一起周末集中去化。总监安排分工：销冠带人协助，销售B主抓流程，销售A负责客户邀约和逼定记录。同时宣布本周安排两次专项培训，分别为“竞品对比与抗性化解”和“逼定时机与谈判心理学”，每人必须参加，课后现场抽考，不过加练，组长盯进度并安排签到和考核表，结果挂钩下周绩效系数。
## 00:12:29-00:15:07 销控纪律与会议总结
组长提出销控表更新延迟，客户定后销售仍推同套房源易引起客诉。总监强调这是底线问题，要求销控实时同步，谁推哪套必须在群里喊一声、CRM系统同步锁房，下月再出现销控不同步丢单或客诉直接问责，组长定纪律并设专人每小时刷新销控大屏。组长总结五项核心议题：工地开放日周三固定开放、逼定权益可视化替换旧物料、渠道带看实名制与质量考核、周末业主答谢会联动去化、专项培训与销控纪律。销售A建议邀约话术统一为“老业主专属品鉴宴”，避开“促销”字眼，销售B随即修改邀约短信和电话模板。销冠补充逼定时财务和法务最好在洽谈区待命，现场能签当场出数出收据，客户安全感强，成交率能提至少两成。总监协调财务和法务周六日轮流值班在案场外围，要求组长散会后半小时内把会议纪要和任务分解表发到工作群，销冠下周晨会分享逼定案例，销售A、销售B盯紧周末答谢会，总监负责渠道和工程对接。
# 要点梳理
## 上月销售数据复盘
- **总到访**：上月案场总到访320组，环比增加15%，数据达标。
- **成交与转化**：成交76套，转化率23%，较上月27%下降4个百分点。
- **来访结构**：渠道带看占比65%，自然来访仅35%。
- **蓄客与流失**：蓄客量约3200组，认购到成交流失率约18%。
- **流失抗性**：客户流失集中在两个抗性——价格预期（竞品推特价房、首付分期、送物业费等）与交付信心（客户细问园林选材、车库层高、外墙保温层）。
- **结论**：量够但转化不足，卡在逼定和转化环节，自主拓客能力和案场拦截能力退化。
## 工地开放日标准化
- **问题**：工地开放日频率不足，客户自行看房不便，陪看占用销售时间；报备审批流程繁琐，需半天。
- **决定**：工地开放日定为每周三下午固定开放，提前两天在CRM系统推送意向客户，客户直接对接专属顾问，不走复杂流程。
- **依据**：销售A分享改善型客户案例，三次带看均请施工经理现场答疑，客户因工程透明最终成交。
## 逼定策略与权益可视化
- **销冠方法**：不直接降价，采用“算总账”方式——将物业费、车位管理费、装修损耗拉表对比竞品，说明单价虽高2000元但十年省下物业和品质维修维护费；配合“限时权益”逼定函，承诺本周定下可申请多送三年物业费。
- **销售B补充**：客户对“限时权益”不买账，需将权益具象化——把三年缴费明细打印放在合同旁。
- **物料问题**：现场逼定函常为上月版本，组长已记录，联系设计本周出新版，写清权益条款避免歧义；下月制作“权益可视化”台卡放洽谈区。
## 渠道带看质量管控
- **问题**：渠道带看量上升但无效带看多，多为中介随便凑数。
- **决定**：下月起带看必须实名登记，需明确需求标签，否则扣减渠道积分；质量不行直接换备选。
- **风险**：销售A反馈中介抵触，称其他楼盘不查此要求，怕渠道不愿推盘；总监表示亲自与渠道部沟通，质量大于数量底线不破。
## 老带新政策与业主答谢会
- **奖励政策**：老带新成功一套奖励两万现金或等值车位券。
- **当前进展**：销售B本月推四组，两组在谈，客户反馈老业主有面子、奖励实在；老业主不好意思开口，需提前给话术和礼品支持。
- **伴手礼**：组长准备定制高端茶叶礼盒和保温杯，老业主转介绍时直接送。
- **业主推荐官活动**：销冠建议每成功推荐一套，除现金外升级物业服务等级（优先预约维修、免费家政清洗一次），软性权益更易在小区群传播。
## 下月目标分解与专项培训
- **总目标**：集团指标下月总去化120套，比上月多50%。
- **拆分**：销冠28套；组长、销售A、销售B三人一组共50套；剩余12套作为机动和渠道攻坚储备。
- **表态**：销售A手头15个准客户等下周认筹通知，需逼定话术统一和组长资源倾斜；销售B计划周末办小型业主答谢会，邀请成交业主分享并推老带新政策。
- **培训安排**：本周两次专项演练——“竞品对比与抗性化解”“逼定时机与谈判心理学”，每人必须参加，课后现场抽考，不过加练；组长安排签到和考核表，结果挂钩下周绩效系数。
## 销控纪律与流程优化
- **问题**：销控表更新延迟，客户定后销售仍推同套房源，易引起客诉。
- **决定**：销控必须实时同步，谁推哪套在群里喊一声，CRM系统同步锁房；下月再出现销控不同步丢单或客诉直接问责。
- **执行**：组长在晨会上强调，设置专人每小时刷新销控大屏。
## 会议总结与后续安排
- **邀约话术**：销售A建议统一为“老业主专属品鉴宴”，避开“促销”字眼，客户抵触心理小；销售B即改邀约短信和电话模板。
- **财务法务待命**：销冠建议逼定时财务和法务在洽谈区待命，现场能签当场出数出收据，成交率可提升至少两成；总监协调周六日轮流值班在案场外围。
- **会后任务**：组长散会后半小时内发会议纪要和任务分解表到工作群；销冠下周晨会分享逼定案例。
## 结论与决定
- 工地开放日定为每周三下午固定开放，提前两天在CRM系统推送意向客户。
- 逼定权益可视化，本周内更新逼定函物料，下月制作权益可视化台卡。
- 渠道带看必须实名登记并明确需求标签，否则扣减渠道积分。
- 下月总去化目标120套：销冠28套，组长、销售A、销售B三人组50套，剩余12套机动。
- 周末举办业主答谢会，销售B主抓流程，销售A负责邀约和逼定记录，销冠带人协助。
- 销控必须实时同步，CRM系统同步锁房，下月再出现销控不同步丢单或客诉直接问责。
- 财务和法务周六日轮流值班在案场外围。
## 行动项与分工
- **组长**：制定工地开放日标准化方案（每周三固定开放、提前两天CRM推送）；联系设计本周出新版逼定函；准备定制伴手礼；设置专人每小时刷新销控大屏；散会后半小时内发会议纪要和任务分解表到工作群。
- **销冠**：梳理手头二十几个高意向客户，周末配合答谢会带人协助；下周晨会分享逼定案例。
- **销售A**：周末答谢会负责客户邀约和逼定记录；配合组长回访上周未成交客户；统一邀约话术为“老业主专属品鉴宴”。
- **销售B**：周末答谢会主抓流程；修改邀约短信和电话模板；推进老带新业务。
- **总监**：与渠道部沟通实名制要求；协调财务和法务周六日值班。
## 待确认与风险
- 渠道带看质量差、无效带看多，可能影响转化。
- 中介对实名制有抵触，可能影响渠道推盘意愿。
- 现场物料更新慢，逼定函版本滞后可能影响逼定效果。
- 销控表更新延迟可能引起客诉。</t>
        </is>
      </c>
      <c r="D55" s="10" t="n">
        <v>66</v>
      </c>
      <c r="E55" t="inlineStr">
        <is>
          <t>4211/4712</t>
        </is>
      </c>
    </row>
    <row r="56" ht="13.5" customHeight="1" s="9">
      <c r="A56" s="7" t="inlineStr">
        <is>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is>
      </c>
      <c r="B56" s="7" t="inlineStr">
        <is>
          <t>通用纪要</t>
        </is>
      </c>
      <c r="C56" t="inlineStr">
        <is>
          <t># 全文摘要
本次团队例会由组长主持，A与B两位成员参与，主要同步ASR模型迭代进度，并解决线上推理延迟与长音频卡死问题。会议围绕数据清洗与模型训练、推理延迟优化、长音频卡死修复、监控与自动化评估体系建设、前端采样率升级五个板块展开。关键结论为：确认流式RNN-T混合架构与2秒切分方案，稳定性优先、精度次之，下周先出热修复版本上灰度。关键数字锚点：有效语音时长占比从89%提升至94%，验证集WER下降0.8个百分点，首字延迟目标控制在80ms以内，热修复版本周四提测。
# 分段速览
## 00:00:00-00:00:58 开场与数据训练进展
组长开场明确会议目标：过一遍上周ASR模型迭代进度、线上推理延迟和长音频卡死问题，要求A和B分别同步各自板块现状并直接提出卡点或资源需求。A汇报数据清洗流水线已完成第二轮，将长尾噪音、极端口音和背景人声重叠片段单独分流，有效语音时长占比从89%提升至94%左右；同时重新校对CTC的blank token分布，发现多音字和连读场景切分点存在偏移，计划用新基准跑一轮消融。B反馈验证集WER下降约0.8个百分点，但指出低资源语言混合边界场景下切分仍有毛刺，中英文切换时模型容易吞掉过渡音或重复解码。
## 00:00:58-00:02:55 架构调整与显存评估
A回应边界切分问题源于CTC对齐阶段对跨语言边界和轻声尾音处理不够平滑，计划将全纯Transformer架构换成流式RNN-T与Transformer混合形态，先在20小时核心数据上训练；数据增强策略已加入时间偏移，但对背景白噪声和混响鲁棒性不足，准备引入MixUp和CutMix再迭代。B认可混合架构方向，但提出RNN-T缓存机制和显存占用问题——GPU集群虽为A100，并发量上升时KV Cache显存峰值容易飙高，可能导致线上服务OOM。A回应已评估该问题，计划对RNN-T的prefix LM缓存做INT8量化并配合动态缓存释放策略，预计压降30%左右显存占用，但压测数据尚未跑完，明天下午将日志和截图发群里同步阈值。
## 00:02:55-00:04:35 推理延迟优化方案
B汇报推理侧卡点集中在动态Batching调度逻辑：线上请求长短音频混排，现有队列切分导致首字延迟波动在150ms到300ms之间，产品反馈体验不连贯。计划将动态Batching改为静态分段加流式解码组合方案——音频按2秒切块，前端VAD预过滤，后端用RNN-T增量解码，目标首字延迟控制在80ms以内，整体吞吐量稳定在120路并发。VAD阈值暂定-25dB，结合能量和谱熵双模型判断，但真实线上底噪更复杂，下周将拉线上流量回放做端到端对比。A提醒VAD阈值需平衡误切率和漏切率，阈值过高会切掉轻声尾音导致缺字，过低则产生多余切分增加无效推理，并要求拉回放时打点前后帧特征日志以便排查切分点对齐影响。
## 00:04:35-00:06:43 组长指导意见与自动化评估
组长确认调整方向并提出三点要求：流式架构切换不能影响现有非流式离线批处理，双线都要保且测试用例覆盖全；VAD阈值由B做消融实验，画误切率和漏切率曲线找最优解；A的模型训练算力已协调，下周一开始划拨三块A100做增量训练，需注意与NLP组错峰使用。A回应将离线和流式验证集分开跑，测试用例周五前发评审，并调整启动脚本优先跑验证集小的实验、大训练放周末夜间；同时提出用GitLab CI搭建自动评估流水线，代码合入即触发数据拉取、模型加载、测试集解码、结果对比，WER未下降或RTF超标直接打回。组长认可并要求B将压测脚本也挂上去形成闭环，A预计三天完成，周四前出V1版本，B配合将压测数据输出为标准JSON格式。
## 00:06:43-00:08:49 长音频卡死问题与热修复
B报告线上特殊场景报错：用户输入超长连续且带方言口音的音频时，解码器陷入无效循环导致loop卡死，直接触发服务器节点重启。当前解码器默认max steps为2048个token、超时5秒，但部分音频解码序列长度超阈值后解码器未做优雅降级直接OOM，日志显示RNN-T的attention权重一直震荡未收敛。A建议增加early stopping机制，结合置信度阈值和连续低概率token判断——连续30步置信度低于0.2时强制截断并返回当前序列，预计能解决90%以上卡死问题。B将实现该逻辑并配合超时熔断和降级返回，同时询问输出序列长度受限是否影响专业术语或长句完整识别。组长明确稳定性优先、精度次之，专业术语后续通过词表扩展和热词注入解决，下周先出热修复版本上灰度，B今晚改完周四提测，A配合长序列数据配比和边界用例验证。
## 00:08:49-00:10:56 监控体系与采样率升级
B提出日志系统过于简陋，线上推理的中间特征和中间帧无法落盘，排查问题全靠猜测，计划接入Prometheus和Grafana监控面板，可视化QPS、延迟、显存利用率、解码步数、VAD误切率等指标。组长认可需求并协助对接运维，要求明天下班前出监控指标定义文档，告警阈值分P0和P1两级——P0为服务不可用或延迟超500ms，P1为显存超85%或WER突增。随后B指出前端SDK音频采样率仍为16k而新模型为32k输入，前端不升级则上采样会引入高频伪影影响识别率，前端对接人称排期推至下月。组长表示32k模型在长尾词上WER比16k好0.5%，将拉产品和技术总监优先插队推进；备选方案为服务端加实时重采样模块做兼容但会增加CPU开销。A建议先由B写轻量级重采样插件用libresample实测CPU占用和延迟影响再决策，B同意先出压测对比数据，CPU开销控制在5%以内再提方案。
## 00:10:56-00:11:57 总结与收尾
组长总结今日要点：第一，流式RNN-T混合架构和2秒切分方案由A和B分头推进，本周五前出详细设计和压测数据；第二，VAD阈值和长序列解码卡死问题，B周四出消融报告和热修复方案，A配合长序列数据配比和评估流水线对接；第三，前端32k采样率升级，B出对比文档和重采样插件实测，组长拉会推进；第四，监控面板和CI自动评估流水线本周内定稿并开始对接运维和测试环境。A确认周三前将CI脚本和测试用例发群里评审，B确认负责推理优化、VAD消融、热修复和监控文档，会议结束。
# 要点梳理
## 数据清洗与模型训练
- **数据清洗**：混合语料库清洗流水线完成第二轮，长尾噪音、极端口音、背景人声重叠片段单独分流，有效语音时长占比从89%提升至94%
- **WER表现**：验证集WER下降0.8个百分点；低资源语言混合边界场景下，中英文切换时模型易吞音或重复解码
- **架构调整**：计划将全纯Transformer架构更换为流式RNN-T与Transformer混合形态，先在20小时核心数据上训练
- **数据增强**：已加入时间偏移，对背景白噪声和混响鲁棒性不足，准备引入MixUp和CutMix再迭代一轮
- **CTC对齐**：重新校对blank token分布，发现多音字和连读场景切分点有偏移，本周用新基准跑消融
## 推理延迟优化
- **现状问题**：动态Batching在长短音频混排时首字延迟波动在150ms到300ms之间，产品反馈体验不连贯
- **调整方案**：改为静态分段加流式解码组合方案——音频按2秒切块，前端VAD预过滤，后端RNN-T增量解码
- **性能目标**：首字延迟控制在80ms以内，整体吞吐量稳定在120路并发
- **VAD阈值**：暂定-25dB，结合能量和谱熵双模型判断；需平衡误切率和漏切率，阈值过高切掉轻声尾音致缺字，过低增加无效推理
- **验证计划**：下周拉线上流量回放做端到端对比，前后帧特征打点日志便于排查切分点对齐影响
- **显存评估**：RNN-T的prefix LM缓存拟做INT8量化配合动态缓存释放策略，预计压降30%左右显存占用；压测日志和截图明天下午发群同步阈值
## 长音频卡死问题
- **故障现象**：线上超长连续带方言口音音频导致解码器loop卡死，陷入无效循环，直接触发服务器节点重启
- **参数现状**：解码器默认max steps为2048个token，超时时间5秒；部分音频解码序列超阈值，解码器未做优雅降级直接报OOM
- **根因分析**：RNN-T的attention权重持续震荡未收敛
- **修复方案**：增加early stopping机制——连续30步置信度低于0.2时强制截断并返回当前序列，预计解决90%以上卡死问题；同时实现超时熔断和降级返回
- **处理原则**：组长明确稳定性优先、精度次之，专业术语后续通过词表扩展和热词注入解决，下周先出热修复版本上灰度
## 监控与自动化评估
- **监控面板**：接入Prometheus和Grafana，可视化QPS、延迟、显存利用率、解码步数、VAD误切率等指标
- **告警分级**：P0为服务不可用或延迟超500ms，P1为显存超85%或WER突增；监控指标定义文档明天下班前发组长，由组长转发运维负责人
- **CI评估流水线**：用GitLab CI实现代码合入即触发数据拉取、模型加载、测试集解码、结果对比；WER未下降或RTF超标直接打回
- **落地时限**：A负责评估脚本和流水线配置，预计三天，周四前出V1版本；B配合将压测数据输出为标准JSON格式
## 前端采样率升级
- **问题**：前端SDK音频采样率16k，新模型输入32k，上采样引入高频伪影影响识别率；32k模型在长尾词上WER比16k好0.5%
- **排期冲突**：前端对接人称排期推至下个月
- **推进方案**：B出对比文档和重采样插件实测（用libresample，CPU开销控制在5%以内），组长拉产品和技术总监优先插队；备选方案为服务端加实时重采样模块，但会增加CPU开销和推理链路延迟
## 结论与决定
- **稳定性优先，精度次之**：长音频卡死问题先出热修复版本上灰度，专业术语识别后续通过词表扩展和热词注入解决
- **架构方向确认**：流式RNN-T混合架构和2秒切分方案方向可行，但流式架构切换不能影响现有非流式离线批处理，双线都要保，测试用例需全覆盖
- **算力协调**：组长协调下周一划拨三块A100做增量训练，需与NLP组错峰使用，注意调度面板排队
## 行动项与分工
- **A**：本周五前出流式RNN-T混合架构详细设计和压测数据；周三前把CI脚本和测试用例发群评审；周四前出评估流水线V1版本；配合长序列数据配比和边界用例验证
- **B**：今晚改完热修复版本，周四提测；周四出VAD阈值消融报告和热修复方案；明天下班前发监控指标定义文档；出前端32k对比文档和重采样插件实测
- **组长**：明天拉产品和技术总监过前端32k采样率升级事项；将监控指标文档转发运维负责人
- **算力调度**：A调整启动脚本，优先跑验证集小的实验，大训练放周末夜间，避开NLP组四个排队job
## 待确认与风险
- **显存压测未完成**：RNN-T的prefix LM缓存INT8量化配合动态缓存释放策略的具体显存曲线和压测数据未跑完，明天下午发群同步阈值
- **VAD阈值待验证**：-25dB阈值在真实线上底噪环境下是否最优，需通过线上流量回放验证误切率与漏切率平衡
- **热词注入影响待确认**：流式解码和静态切分的衔接是否影响热词注入的实时生效，待技术细节验证
- **服务端重采样待决策**：是否采用服务端实时重采样模块需B先出压测对比数据（CPU开销控制在5%以内）再决策
- **OOM风险**：并发量上升时KV Cache显存峰值易飙高，可能导致服务OOM
- **算力冲突**：与NLP组项目存在GPU排队撞车风险，需错峰运行</t>
        </is>
      </c>
      <c r="D56" s="10" t="n">
        <v>68.7</v>
      </c>
      <c r="E56" t="inlineStr">
        <is>
          <t>3912/4913</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3:I8"/>
  <sheetViews>
    <sheetView workbookViewId="0">
      <selection activeCell="B4" sqref="B4:B6"/>
    </sheetView>
  </sheetViews>
  <sheetFormatPr baseColWidth="8" defaultColWidth="9" defaultRowHeight="13.5"/>
  <sheetData>
    <row r="3">
      <c r="D3" s="1" t="inlineStr">
        <is>
          <t>准确性</t>
        </is>
      </c>
      <c r="E3" s="0" t="inlineStr">
        <is>
          <t>相关性</t>
        </is>
      </c>
      <c r="F3" s="0" t="inlineStr">
        <is>
          <t>通顺性</t>
        </is>
      </c>
      <c r="G3" s="0" t="inlineStr">
        <is>
          <t>其它问题</t>
        </is>
      </c>
      <c r="H3" s="1" t="inlineStr">
        <is>
          <t>MOS分</t>
        </is>
      </c>
      <c r="I3" s="1" t="inlineStr">
        <is>
          <t>模板准确性</t>
        </is>
      </c>
    </row>
    <row r="4">
      <c r="B4" s="8" t="inlineStr">
        <is>
          <t>竞品对比</t>
        </is>
      </c>
      <c r="C4" s="1" t="inlineStr">
        <is>
          <t>A</t>
        </is>
      </c>
      <c r="D4" s="0">
        <f>AVERAGE(竞品对比!#REF!)</f>
        <v/>
      </c>
      <c r="E4" s="0">
        <f>AVERAGE(竞品对比!#REF!)</f>
        <v/>
      </c>
      <c r="F4" s="0">
        <f>AVERAGE(竞品对比!#REF!)</f>
        <v/>
      </c>
      <c r="G4" s="3">
        <f>COUNTIF(竞品对比!#REF!,-5)/COUNTIF(竞品对比!#REF!,"&lt;&gt;")</f>
        <v/>
      </c>
      <c r="H4" s="0">
        <f>AVERAGE((竞品对比!#REF!+竞品对比!#REF!+竞品对比!#REF!)/3+竞品对比!#REF!)</f>
        <v/>
      </c>
    </row>
    <row r="5">
      <c r="C5" s="1" t="inlineStr">
        <is>
          <t>B</t>
        </is>
      </c>
      <c r="G5" s="3" t="n"/>
    </row>
    <row r="6">
      <c r="C6" s="1" t="inlineStr">
        <is>
          <t>C</t>
        </is>
      </c>
      <c r="G6" s="3" t="n"/>
    </row>
    <row r="7">
      <c r="B7" s="1" t="inlineStr">
        <is>
          <t>自定义模板</t>
        </is>
      </c>
    </row>
    <row r="8">
      <c r="B8" s="1" t="inlineStr">
        <is>
          <t>智能识别</t>
        </is>
      </c>
      <c r="I8" s="0">
        <f>COUNTIF(#REF!,“可用”)</f>
        <v/>
      </c>
    </row>
  </sheetData>
  <mergeCells count="1">
    <mergeCell ref="B4:B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2022-10-11T02:32:00Z</dcterms:created>
  <dcterms:modified xmlns:dcterms="http://purl.org/dc/terms/" xmlns:xsi="http://www.w3.org/2001/XMLSchema-instance" xsi:type="dcterms:W3CDTF">2026-09-19T14:02:13Z</dcterms:modified>
  <cp:lastModifiedBy>houyefei</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2052-0.0.0.0</vt:lpwstr>
  </property>
</Properties>
</file>