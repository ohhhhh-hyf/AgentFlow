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8720" tabRatio="600" firstSheet="0" activeTab="0" autoFilterDateGrouping="1"/>
  </bookViews>
  <sheets>
    <sheet xmlns:r="http://schemas.openxmlformats.org/officeDocument/2006/relationships" name="竞品对比" sheetId="1" state="visible" r:id="rId1"/>
    <sheet xmlns:r="http://schemas.openxmlformats.org/officeDocument/2006/relationships" name="指标统计" sheetId="2" state="hidden" r:id="rId2"/>
  </sheets>
  <definedNames/>
  <calcPr calcId="191029" fullCalcOnLoad="1"/>
</workbook>
</file>

<file path=xl/styles.xml><?xml version="1.0" encoding="utf-8"?>
<styleSheet xmlns="http://schemas.openxmlformats.org/spreadsheetml/2006/main">
  <numFmts count="1">
    <numFmt numFmtId="164" formatCode="0.0&quot;秒&quot;"/>
  </numFmts>
  <fonts count="5">
    <font>
      <name val="宋体"/>
      <charset val="134"/>
      <color theme="1"/>
      <sz val="11"/>
      <scheme val="minor"/>
    </font>
    <font>
      <name val="微软雅黑"/>
      <charset val="134"/>
      <family val="2"/>
      <color rgb="FF000000"/>
      <sz val="10"/>
    </font>
    <font>
      <name val="宋体"/>
      <charset val="134"/>
      <family val="3"/>
      <color rgb="FF000000"/>
      <sz val="11"/>
    </font>
    <font>
      <name val="微软雅黑"/>
      <charset val="134"/>
      <family val="2"/>
      <color theme="1"/>
      <sz val="10"/>
    </font>
    <font>
      <name val="宋体"/>
      <charset val="134"/>
      <family val="3"/>
      <sz val="9"/>
      <scheme val="minor"/>
    </font>
  </fonts>
  <fills count="2">
    <fill>
      <patternFill/>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pplyAlignment="1">
      <alignment vertical="center"/>
    </xf>
  </cellStyleXfs>
  <cellXfs count="11">
    <xf numFmtId="0" fontId="0" fillId="0" borderId="0" applyAlignment="1" pivotButton="0" quotePrefix="0" xfId="0">
      <alignment vertical="center"/>
    </xf>
    <xf numFmtId="0" fontId="2" fillId="0" borderId="0" applyAlignment="1" pivotButton="0" quotePrefix="0" xfId="0">
      <alignment vertical="center"/>
    </xf>
    <xf numFmtId="0" fontId="1" fillId="0" borderId="1" applyAlignment="1" pivotButton="0" quotePrefix="0" xfId="0">
      <alignment horizontal="left" vertical="center" wrapText="1"/>
    </xf>
    <xf numFmtId="10" fontId="0" fillId="0" borderId="0" applyAlignment="1" pivotButton="0" quotePrefix="0" xfId="0">
      <alignment vertical="center"/>
    </xf>
    <xf numFmtId="0" fontId="3" fillId="0" borderId="0" applyAlignment="1" pivotButton="0" quotePrefix="0" xfId="0">
      <alignment vertical="center" wrapText="1"/>
    </xf>
    <xf numFmtId="0" fontId="3" fillId="0" borderId="0" applyAlignment="1" pivotButton="0" quotePrefix="0" xfId="0">
      <alignment vertical="top" wrapText="1"/>
    </xf>
    <xf numFmtId="0" fontId="1" fillId="0" borderId="1" applyAlignment="1" pivotButton="0" quotePrefix="0" xfId="0">
      <alignment horizontal="left" vertical="top" wrapText="1"/>
    </xf>
    <xf numFmtId="0" fontId="1" fillId="0" borderId="1" applyAlignment="1" pivotButton="0" quotePrefix="0" xfId="0">
      <alignment vertical="top" wrapText="1"/>
    </xf>
    <xf numFmtId="0" fontId="2" fillId="0" borderId="0" applyAlignment="1" pivotButton="0" quotePrefix="0" xfId="0">
      <alignment horizontal="center" vertical="center"/>
    </xf>
    <xf numFmtId="0" fontId="0" fillId="0" borderId="0" pivotButton="0" quotePrefix="0" xfId="0"/>
    <xf numFmtId="164" fontId="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6"/>
  <sheetViews>
    <sheetView tabSelected="1" workbookViewId="0">
      <pane xSplit="1" ySplit="2" topLeftCell="B3" activePane="bottomRight" state="frozen"/>
      <selection pane="topRight" activeCell="A1" sqref="A1"/>
      <selection pane="bottomLeft" activeCell="A1" sqref="A1"/>
      <selection pane="bottomRight" activeCell="B4" sqref="B4"/>
    </sheetView>
  </sheetViews>
  <sheetFormatPr baseColWidth="8" defaultColWidth="9" defaultRowHeight="13.5" customHeight="1" outlineLevelCol="0"/>
  <cols>
    <col width="55.375" customWidth="1" style="5" min="1" max="1"/>
    <col width="56.125" customWidth="1" style="5" min="2" max="2"/>
    <col width="9" customWidth="1" style="4" min="3" max="16384"/>
  </cols>
  <sheetData>
    <row r="1" ht="13.5" customHeight="1" s="9">
      <c r="A1" s="5" t="inlineStr">
        <is>
          <t>文本</t>
        </is>
      </c>
      <c r="B1" s="5" t="inlineStr">
        <is>
          <t>场景</t>
        </is>
      </c>
      <c r="C1" t="inlineStr">
        <is>
          <t>纪要</t>
        </is>
      </c>
      <c r="D1" t="inlineStr">
        <is>
          <t>消耗时间</t>
        </is>
      </c>
      <c r="E1" t="inlineStr">
        <is>
          <t>文本长度</t>
        </is>
      </c>
    </row>
    <row r="2" ht="13.5" customHeight="1" s="9">
      <c r="A2" s="6" t="inlineStr">
        <is>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is>
      </c>
      <c r="B2" s="2" t="inlineStr">
        <is>
          <t>新闻发布</t>
        </is>
      </c>
      <c r="C2" t="inlineStr">
        <is>
          <t># 王毅慕安会阐述推动平等有序世界多极化主张
## 发布会概况
慕尼黑安全会议期间，中方代表王毅发表主旨演讲并回答主持人提问。王毅以今年慕安会报告主题“走向多极化”为引，指出多极化是历史必然、正在成为现实，并系统阐述中国主张推动平等有序的世界多极化。演讲围绕四个板块展开：倡导平等相待、尊重国际法治、践行多边主义、坚持开放共赢，强调中国必将是多极体系中的确定性因素，坚定做变革世界中的建设性力量。宏观层面，王毅指出中国是现行国际秩序的受益者，主张共同维护以联合国为核心的国际体系；同时重申中国对美政策保持连续性和稳定性，遵循相互尊重、和平共处、合作共赢三原则。问答环节聚焦国际秩序与联合国改革、俄乌冲突与中俄关系、中美关系发展前景等热点议题，王毅逐一回应，阐明中方立场。后续安排方面，中方愿同欧方用好中欧建交50周年契机，深化战略沟通和互利合作。
## 核心信息
### 推动平等有序的世界多极化
- 多极化是历史必然、正在成为现实，中国主张推动平等有序的世界多极化，提出四点看法：倡导平等相待、尊重国际法治、践行多边主义、坚持开放共赢。
- 80年前联合国成立时只有51个会员国，到今天有193个国家。
- 中国加入了几乎所有普遍性的政府间国际组织和**600多项国际公约**，承担**超过20%的联合国会费**。
- 中国建成了世界上最大的清洁发电体系，去年GDP增长**5%**，对世界经济增长的贡献率接近**30%**。
### 国际秩序与联合国改革
- 中国是现行国际秩序的受益者，主张推动秩序朝更加公正合理方向发展。
- 应共同维护以联合国为核心的国际体系，遵守以联合国宪章宗旨和原则为基础的国际关系基本准则，这是最大公约数。
- 批评个别国家迷信实力至上、搞双重标准，中国从不搞例外主义，更不搞合则用、不合则弃。
### 俄乌冲突与中俄关系
- 2022年2月25日，即俄乌冲突爆发第2天，中方提出对话协商解决。
- 习近平主席提出4点主张：各国主权领土完整应得到尊重、联合国宪章应得到遵守、各国合理安全关切应得到重视、一切致力于和平的努力都应得到支持。
- 中国同巴西等南方国家发起了“和平之友”，中方乐见一切致力于和平的努力。
### 中美关系发展前景
- 中国对美政策三原则：相互尊重、和平共处、合作共赢。
- 中方已准备好按三原则同美方构建稳定健康可持续的双边关系，希望美方相向而行。
## 官方表态
### 关于多极化与国际秩序
- **多极化是历史必然**：多极化正在成为现实，中国主张推动平等有序的世界多极化，中国必将是多极体系中的确定性因素，坚定做变革世界中的建设性力量。
- **维护联合国核心地位**：应共同维护以联合国为核心的国际体系，遵守以联合国宪章宗旨和原则为基础的国际关系基本准则，这是最大公约数。
- **反对双重标准**：个别国家迷信实力至上、搞双重标准，中国从不搞例外主义，更不搞合则用、不合则弃。
### 关于俄乌冲突
- **主张对话政治解决**：中方主张通过对话政治解决争端，武力和制裁不能真正解决问题。
- **重申习近平主席4点主张**：各国主权领土完整应得到尊重、联合国宪章应得到遵守、各国合理安全关切应得到重视、一切致力于和平的努力都应得到支持。
- **劝和促谈努力**：中方同巴西等南方国家发起“和平之友”，乐见一切致力于和平的努力。
### 关于中美关系
- **政策连续稳定**：中国对美政策保持连续性和稳定性，遵循习近平主席提出的相互尊重、和平共处、合作共赢三原则。
- **坚定维护权益**：若美方仍打压遏制，中方必将奉陪到底，坚决维护国家主权、尊严和正当发展权利。
### 关于中欧合作
- **深化互利合作**：中方愿推动高质量共建“一带一路”，与欧盟“全球门户”战略相互对接；愿同欧方用好中欧建交50周年契机，深化战略沟通和互利合作。
## Q&amp;A环节
**主持人**：中国是否仍相信联合国及宪章，是否推动联合国改革？
**王毅**：中国是现行国际秩序的受益者，主张推动秩序朝更加公正合理方向发展。应共同维护以联合国为核心的国际体系，遵守以联合国宪章宗旨和原则为基础的国际关系基本准则，这是最大公约数。
**主持人**：俄罗斯已成为“中国的加油站”，中国是否可减少购买俄油气以施压俄罗斯？
**王毅**：如果中国不从俄罗斯买，哪个国家能够提供如此巨量的油气来满足中国民众的需求呢？那是不可能的，也是不保险的。中俄交往正常。中方主张通过对话政治解决争端，武力和制裁不能真正解决问题。
**主持人**：请预告中美关系将如何发展。
**王毅**：中国对美政策保持连续性和稳定性，遵循习近平主席提出的相互尊重、和平共处、合作共赢三原则。中方已准备好按三原则同美方构建稳定健康可持续的双边关系，希望美方相向而行；若美方仍打压遏制，中方必将奉陪到底。</t>
        </is>
      </c>
      <c r="D2" s="10" t="n">
        <v>48.3</v>
      </c>
      <c r="E2" t="inlineStr">
        <is>
          <t>7004/2036</t>
        </is>
      </c>
    </row>
    <row r="3" ht="13.5" customHeight="1" s="9">
      <c r="A3" s="6" t="inlineStr">
        <is>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is>
      </c>
      <c r="B3" s="2" t="inlineStr">
        <is>
          <t>沟通交流会</t>
        </is>
      </c>
      <c r="C3" t="inlineStr">
        <is>
          <t># 电子科技大学电子科学与工程学院研究生招生宣讲会
## 沟通背景
本次宣讲会由电子科技大学电子科学与工程学院面向考生和家长举办，旨在介绍学院学科实力、科研平台、师资力量、人才培养成果及招生专业方向，吸引优秀生源报考。学院领导段院首先介绍学院历史沿革，从1956年建校初期的无线电系、电真空器件系、无线电零件系，历经1979年、1992年、2001年、2018年四次院系调整成立电子科学与工程学院，2023年响应国家号召成立电子科学与工程学院与集成电路学院。随后柳教授、张教授、李天明教授分别介绍电子信息材料与元器件、电磁场与微波技术、电路与系统、物理电子学等专业方向，在读博士田雨桐从学生视角分享择校择导师建议。整场宣讲基调积极务实，系统呈现学院在学科建设、科研产出与人才培养方面的突出成果，并现场解答夏令营相关提问，开展抽奖互动，达成预期宣传效果。
## 核心信息
### 学院整体情况
- **学科设置**：电子科学与技术为国家重点一级学科，下设电磁场与微波技术、电路与系统、微电子学与固体电子学、物理电子学、电磁信息功能材料与机构5个二级学科方向；另有3个国防特色学科（电磁场与微波、军用关键材料、电子元器件）。
- **学生规模**：本科生现有1545人，招生专业为工科试验班（电子工程类），含电子科学技术（国家特色专业、国家级一流本科专业建设点）和电磁场与无线技术两个方向；研究生现有1975人，学硕和博士为电子科学与技术，硕士另有材料科学与工程，专业学位博士为电子信息，硕士为电子信息、材料工程。
- **师资队伍**：学院现有教师302人，其中教研系列139人、科研系列95人、教学系列14人、实验系列21人；含两院院士2人、领军人才19人、青年人才28人、其他类型人才12人、博士后61人；拥有2个全国高校黄大年式教师团队，2022年获批4个国家自然科学基金创新群体。
- **科研实力**：近5年科研经费到账稳定在3~4亿元之间，项目以纵向为主、横向为辅；牵头获国家科技奖励11项，发表高水平学术论文2000余篇，专利申请1600余件、授权1300余件；20个科研团队中年度经费过千万元的15个，过亿元团队1个。
- **平台建设**：拥有国家电子辐射控制材料工程技术研究中心、微波电子器件国家级重点实验室2个国家级平台，4个国际合作平台、7个省部级科研平台；共建国际姊妹院系2个（香港大学电机工程电子系、香港城市大学电子工程系），主办高水平国际会议13场，学生长短期交流项目20多个。
### 电子信息材料与元器件方向
- **方向定位**：以材料为基础、器件为核心、应用为目标导向，涉及电子材料、电子器件、电路的设计研制生产和应用，概括为“一代材料催生一代器件，服务一代整机”。
- **产业背景**：2021年中国集成电路电子产品进口额度达2.8万亿元，约为原油进口量的1.7倍，先进电子材料元器件是卡脖子问题之一；应用领域涵盖6G通讯、量子技术、智慧城市、光电技术、新能源、智能电子等，市场规模达万亿美元量级。
- **研究队伍**：含国家级人才10余人，主要有邓龙江院士所在的电磁辐射控制材料与技术团队（研究人员19人，正高13人、副高15人，发表包括Nature在内的论文300余篇，承担课题130余项，年均到账经费3000多万元，授权发明专利100余项，获国家科技进步或技术发明二等奖共3项）和张怀武教授领导的磁电薄膜与微型器件团队（研究人员17人，正高15人、副高2人，承担项目100余项，获科技进步二等奖3项，发表SCI论文400余篇，年均到账经费2000余万元）。
- **平台条件**：依托国家电磁辐射控制材料工程技术研究中心和电磁薄膜与集成器件全国重点实验室2个国家级平台；科研面积2万余平米（超净间3000平米），建设两条国家重大任务试验生产线，拥有大型设备或系统500余台套。
- **成果与出口**：已获国家技术发明等奖项共计7项；毕业生去向包括英特尔、中芯国际、华为、德州仪器等企业及高校科研院所；在读学生杨伟豪以第一作者在Nature Electronics、Nature Communications各发表论文一篇，5G滤波器芯片学生团队获挑战杯创新创业大赛四川省金奖。
### 电磁场与微波技术、电路与系统方向
- **方向构成**：电磁场与微波技术含微波毫米波电路、电波传播与电磁兼容、计算电磁学与工程电子学、天线理论与技术4个细分方向；电路与系统含非线性电路与复杂电子系统、射频微波电路与系统、集成电路与系统3个方向，两者共同组建射频电子系统的全方位覆盖。
- **学科沿革**：电磁场与微波技术学科始于1956年建校时期，由林卫干先生和谢楚芳先生共同创建，所属一级学科电子科学与技术入选双一流A类学科；电路与系统学科1981年开始招收研究生，1988年成立首批博士后流动站。
- **团队与平台**：电磁场与微波技术学科有电磁辐射与散射、毫米波技术与系统应用、微波毫米波集成电路与系统、电磁兼容技术、微波测试与成像技术、无线技术与集成系统6个团队；平台包括国家自然基金委创新群体、国家高等学校学科创新引智基地、国家工程技术研究中心、国家级重点实验室，硬件拥有中国高校最先进的微波暗室群体及微波毫米波太赫兹仿真测试平台。
- **主要成果**：杨世文教授团队的四维天线阵列技术提供新自由度、实现低成本高性能，强耦合超宽带相控阵成果应用于中电14所某大型机载相控阵雷达，计算电磁学算法被评为20世纪十大算法之一；樊勇教授团队研制0.22THz、0.34THz、0.42THz雷达成像系统（分辨率小于1厘米），太赫兹通信成果在2023年成都大运会田径项目示范应用；李恩教授团队引领微波毫米波测量技术，突破众多技术封锁，有60多年技术积累；延波教授团队获国家科技重大专项及军科委支持，研制三毫米导引头前端、毫米波引信前端、8毫米宽带收发前端等。
- **人才培养**：电路与系统学科拥有国家级人才4人、新世纪人才2人、教授10人、副教授22人；连续三年获全国大学生集成电路创新创业大赛奖项，荣获华为优秀合作项目奖、研究生优秀导学团队提名奖；就业领域包括华为、中兴等领军企业、各大研究所和高校。
### 物理电子学方向
- **学科定位**：物理学与电子科学技术的交叉学科，将物理学最新研究成果应用于电子学产生新型电子器件，典型如微波电子学（微波电真空器件）、光电子学（光电器件）；具有内容不断充实、学科边界不一定清晰、基础性与前沿性等特点。
- **发展历程**：起源于1956年建校时在苏联专家帮助下成立的电子控器件专业，1979年在刘成刚院士带领下成立高能电子学研究所，2001年成立物理电子学，2018年成立电子科学与工程学院。
- **研究内涵**：纵向发展涵盖上游仿真设计、数字模拟材料（拥有自主知识产权商用软件MMST和切皮克，引入人工智能）和下游系统应用（毫米波雷达、行波管无线输能系统、磁控管微波能干燥系统）；横向发展频段从微波上移到毫米波到太赫兹，并与医学交叉，利用太赫兹成像提高诊断准确性，利用太赫兹宽频带做保密通信、高速通信。
- **平台与成果**：拥有3个四川省工程中心或重点实验室，每年到校科研经费接近2亿元（学院中最多的），是国际上最大的真空器件研究中心，2023年成功举办行业顶级会议；方向共有9个团队。
- **学生出口**：团队学生约1/3硕博连读、1/3去企业、1/3去研究所或其他（如公务员）。
### 学生视角分享与互动答疑
- **择校理由**：在读博士田雨桐（2023级电子科学与技术专业）分享选择电子学院的8个理由，包括城市（成都）、学校（电子科大）、专业（电子科学与技术）、团队、导师、奖助体系等；成都为四川省会、国家中心城市、新一线城市，电子信息产业聚集英特尔、华为、京东方等巨头。
- **学科实力**：电子科大电子科学与技术学科在第4轮学科评估中获A+，稳居全国第一；田雨桐所在毫米波技术与系统应用团队（负责人樊勇老师）围绕微波毫米波理论与技术、天线理论与技术、元器件与电路、通信技术与系统、雷达成像技术与系统五大方向开展研究，硕博毕业生实现100%就业率。
- **奖助体系**：包括国家奖学金、学业奖学金、专项奖学金、新生奖学金、校园地国家助学贷款、生源地助学贷款等；学院拥有四大学科和19个科研团队。
- **夏令营安排**：电子学院计划今年举办夏令营活动，具体时间待定，相关信息将通过QQ群发布，QQ群号978499108。
- **抽奖互动**：抽奖口令为“一生一世，逐梦未来”，奖品为学校整套马克杯。
## 各方诉求
- **学院（段院及各位教授）**：系统展示学院历史沿革、学科布局、师资力量、科研平台与人才培养成果，突出电子科学与技术A+学科优势、国家级平台与高水平科研产出，传递学院在电子信息领域的领先地位与培养实力，吸引优秀生源报考。
- **考生及家长**：关注学院招生专业设置、学科实力、师资队伍、科研条件、毕业生就业去向与深造前景，并通过夏令营安排、奖助体系等具体信息评估报考价值；对夏令营举办时间等细节存在信息需求。
- **在读博士田雨桐**：从学生视角补充择校择导师的实用建议，强调成都城市环境、学校学科排名、团队就业率与奖助体系等对考生决策有直接影响的因素，帮助考生建立对学院学习生活的直观认知。
## 沟通结果
**达成共识**
- **夏令营活动安排**：电子学院计划今年举办夏令营活动，具体时间待定，相关信息将通过QQ群发布，QQ群号978499108。
- **抽奖互动**：抽奖口令为“一生一世，逐梦未来”，奖品为学校整套马克杯。
**待协调事项**
- **夏令营时间确定**：由电子学院牵头推进夏令营具体时间的确定与公布，通过QQ群（群号978499108）向考生和家长发布相关信息，具体时间节点待定。</t>
        </is>
      </c>
      <c r="D3" s="10" t="n">
        <v>107.5</v>
      </c>
      <c r="E3" t="inlineStr">
        <is>
          <t>13887/4101</t>
        </is>
      </c>
    </row>
    <row r="4" ht="13.5" customHeight="1" s="9">
      <c r="A4" s="6" t="inlineStr">
        <is>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is>
      </c>
      <c r="B4" s="2" t="inlineStr">
        <is>
          <t>总结复盘会</t>
        </is>
      </c>
      <c r="C4" t="inlineStr">
        <is>
          <t># 2023年度经营总结与颁奖会议纪要
## 复盘概况
2023年公司整体经营总量提升，但成本控制问题突出。全年营业额与开票额未具体公布，年终奖总额确定为226,000元；成本支出（人员工资、外援配音、字幕、租机器）达390万元，利润率约24%或27%。公司总量提升但结余到账缩水，尚有百来万款项未收回，公司亏损100万元，老板个人收入比去年少约10万元。老板指出成本控制是公司最大问题，根源在于管理关注不够、不够雷厉风行，明年将专题讨论。年终奖发放标准明确：入职两三个月或半年以内员工发红包，去年600-800元，今年约1000元；干满一年以一个月基本工资为基准，表现好可更高；干满一年以上主要考虑当年表现，年限权重降低；干得久且满意的员工有高预算，实际拿到两三万，预算可到大几万。个人年终奖数额不一一公布，以发到手为准。会议逐一评价各部门员工表现，颁发五个奖项共6人获奖，并设置抽奖环节，整体氛围轻松，老板多次强调年终奖发放标准、成本控制问题及对后期部门的侧重。
## 关键成果
### 经营数据
- **年终奖总额**：确定为226,000元，干满一年的员工从去年的四五人增加到今年的12人。
- **成本支出**：人员工资、外援配音、字幕、租机器合计390万元，利润率约24%或27%。
- **收入与结余**：公司总量提升，但结余到账有所缩水，尚有百来万款项未收回；公司亏损100万元，老板个人比去年少拿约10万元。
### 员工评价
- **红叶子**：入职两三个月，10月入职、11月转正，懂技术懂英语，政委评价高。
- **郭东辉**：干满一年的运营，负责多个平台账号，2023年视频号粉丝从719人涨到8万，小红书从2000+涨到6.4万，抖音从2000+涨到5.7万，B站从3.1万涨到7.6万；涨粉转折点是6月20日第一条外拍视频；账号变现程度达7.5分（满分10分），直播4-5场，平均在线人数5000+。
- **刘腾宇**：评价最高，职业性、专业性、纪律性都好，迟到几乎没有，请假严格按规定。
- **欧阳**：刚满一年，有学习能力，沟通能力需提升。
- **徐艺玲**：干得较久，一遍过率高，技术有进步，剪宣传片类像模像样。
- **张文倩**：综合能力强，宁波项目完成出乎老板意料。
- **市井**：后期技术标杆，最好的没有之一。
- **钱德峰**：元老级，后半年拍摄密集，两个月连轴转无休息。
- **徐武安**：灵光，眼里有活，警察学院驻场辛苦。
- **宋俊逸**：刚来两三个月，编导职位，第一次安排活就表现好。
- **张扬**：公司邀请的人才，来了半年，基本达到期待，老板认为2023年最有价值的事是招他进来。
- **林海腾**：运营层面重要，上传下达，后期安排繁重。
- **李国宇**：满一年，拍摄水平高，后期有灵性。
- **张启**：干了一年的商务，表现高于预期，有主观能动性。
### 部门评价
- **短视频部门**：满意，期待明年开始变现，老板将投入更大精力。
- **执行部门**：认可辛苦程度，项目没做砸过，期待老板更多组织协调，减少休息时间侵占。
- **商务部门**：基本达到预期，实打实项目约300万元。
### 颁奖环节
- **最佳新人奖**：颁给红叶子、张扬。
- **最佳进步奖**：颁给欧阳。
- **后期独当一面奖**：颁给刘腾宇。
- **最佳员工奖**：颁给游腾宇。
- **特别贡献奖**：颁给林海腾，奖金是单项奖中最多的。
- 奖项评选认真有竞争性，2选1或3选1；证书40元一本，皮质含设计费；老板强调年终奖和颁奖对后期部门有所侧重。
## 亮点事项
- **郭东辉账号运营成效显著**：视频号粉丝从719人涨到8万，小红书从2000+涨到6.4万，抖音从2000+涨到5.7万，B站从3.1万涨到7.6万，涨粉转折点为6月20日第一条外拍视频，账号变现程度达7.5分，直播平均在线5000+，为短视频部门明年变现打下基础。
- **刘腾宇获最高评价**：职业性、专业性、纪律性俱佳，迟到几乎没有、请假严格按规定，成为团队职业化标杆。
- **张文倩宁波项目超预期完成**：综合能力强，项目完成结果出乎老板意料，体现独立扛事能力。
- **张扬引进价值获高度认可**：老板明确表示2023年最有价值的事是招他进来，来了半年基本达到期待。
- **钱德峰高强度投入**：元老级员工，后半年拍摄密集，两个月连轴转无休息，体现执行部门辛苦程度与项目零砸锅的支撑。
- **奖项设置增强仪式感与竞争性**：新增证书和奖项，评选2选1或3选1，对后期部门有所侧重，老板强调这是唯一愿意解释的原因。
## 不足事项
- **成本控制差是公司最大问题**：成本支出达390万元，公司亏损100万元，老板个人比去年少拿约10万元，尚有百来万款项未收回；老板反思根源在于管理关注不够、不够雷厉风行，明年将专题讨论。
- **外援成本高**：员工建议公司内部人员参与拍摄以减少外援支出，外援配音、字幕等成本高，内部人员可简单按机位，且能提升收入。
- **加班问题严重**：人不够是最大因素，后期部门工作繁重，休息时间被侵占，执行部门期待老板更多组织协调。
- **后期与前期收入差距引发关注**：老板坦言年终奖和颁奖侧重后期，后期比前期收入少一截，希望员工理解，同时鼓励大家参与拍摄提升市场价值。
## 改进计划
- **成本控制专题讨论**：针对成本控制差这一公司最大问题，老板明确明年将专题讨论，重点解决管理关注不够、不够雷厉风行的问题。
- **内部人员参与拍摄**：针对外援成本高的问题，鼓励公司内部人员参与拍摄，简单按机位即可，减少外援支出，同时提升员工市场价值。
- **加强组织协调减少加班**：针对加班问题严重、人不够是最大因素，老板将更多组织协调，减少对员工休息时间的侵占。
- **短视频部门明年变现**：短视频部门今年满意，期待明年开始变现，老板将投入更大精力推动。</t>
        </is>
      </c>
      <c r="D4" s="10" t="n">
        <v>82.40000000000001</v>
      </c>
      <c r="E4" t="inlineStr">
        <is>
          <t>24562/2499</t>
        </is>
      </c>
    </row>
    <row r="5" ht="13.5" customHeight="1" s="9">
      <c r="A5" s="6" t="inlineStr">
        <is>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is>
      </c>
      <c r="B5" s="2" t="inlineStr">
        <is>
          <t>通用纪要</t>
        </is>
      </c>
      <c r="C5" t="inlineStr">
        <is>
          <t># 通用纪要
## 全文摘要
本次会议是小区业委会、业主代表与物业公司、社区及办事处领导就物业服务问题召开的协调会。主持人发言者2强调会议目的是协调矛盾、坦诚相商，并指出成立业委会、召开业主大会属正常流程，并非一定要更换物业。业主方由业委会成员发言者4代表，列举门柱灯、水系、监控、绿化、围墙、雨水倒灌等十余项长期未解决问题，要求召开业主大会表决是否更换物业；物业方则回应多数问题属地产前期配套或费用不足所致，并宣布已就业委会阻碍经营等行为向法院起诉。双方立场尖锐对立，最终未能达成一致，业委会表示将按流程推进业主大会，物业方表示将依法起诉，双方决定各自走法律程序。
## 要点梳理
### 开场与背景说明
- **会议定调**：主持人发言者2说明会议目的是协调业委会与物业之间的矛盾，强调坦诚相待、不搞对立，希望各方共同商量解决问题。
- **流程澄清**：发言者2指出成立业主委员会和召开业主大会是正常流程，并非一定要更换物业。
### 业主方提出诉求与问题清单
- **业主诉求**：业委会成员发言者4代表业主提出小区长期存在的多项问题，认为物业不作为，要求召开业主大会表决是否更换物业。
  - 业主自发接龙有200来位业主参与，主要议题是召开业主大会。
  - 业委会工作组有1个群，准业主分5个群，共6个群。
  - 入户门柱灯从未开启。
  - 内部水系、迎宾水系从未开启。
  - 监控几乎全部损坏，上个月小区进贼时警方未能从监控获取数据；监控室无人值班，一键直达功能荒废。
  - 绿化维护缺失，仅小区入口两侧就死了三棵树。
  - 北边围墙用烂铁皮遮挡且存在缺口，致社会人员随意进出，未修复。
  - 民生配套（快递柜、直饮水、宽带、暖气）未解决。
  - 2019年雨水倒灌造成业主财产损失，至今未解决。
  - 物业人员配备不足：办公室从最初接近10人减至4人，维修人员从5人减至2人。
- **业主立场**：发言者4强调物业服务无滞后性，不能以先收费为前提，并称物业费问题可通过集体起诉要求返还部分费用。
### 物业方回应与辩解
- **物业总体回应**：物业经理发言者7对业主提出的问题逐一回应，认为多数问题属地产前期配套或费用不足所致，物业公司已尽力。
  - 门柱灯未亮系能耗成本过高、公司已无力承担。
  - 水系从交付起存在严重质量问题，属地产配套未完成，应由地产维修。
  - 监控损坏因无费用维修，但已向警方和刑警提供监控画面。
  - 绿化死亡因业委会10月成立后已入冬季、不宜更换。
  - 北边围墙属红线以外且涉及违建，不属于物业服务范围，曾协调厂家定做但因费用过高未成。
  - 民生配套属地产前期配套，开通费用应由业主承担。
  - 雨水倒灌系园区地势四周高中间低、超出排水承载范围，属地产设计建设问题。
- **经营状况**：物业方称园区保护收入一年100来万，人工成本就占100多万，每年亏损；业主欠物业费170多万，要求先回款40万再维修。
- **起诉决定**：物业公司宣布已与集团法务沟通，本月将起诉业委会。
### 双方激烈交锋与调解尝试
- **服务态度争议**：业委会成员发言者4指物业经理曾说过"上你家吃饭"等不当言论；物业经理发言者7承认说过该话但否认威胁。
- **调解尝试**：办事处领导发言者3建议物业拿出实际行动赢得业主信任，同时业主也应体谅物业难处，但物业经理表示公司已入不敷出。
### 会议结束与后续安排
- **后续安排**：业委会成员发言者4表示将正常推进业主大会；物业经理发言者7表示将起诉业委会，并称案件存续期间无法更换物业。
## 结论与决定
- **业委会决定**：按流程推进召开业主大会，表决是否更换物业。
- **物业公司决定**：本月正式起诉业委会，并主张案件存续期间无法更换物业。
- **未达成共识**：双方立场尖锐对立，未能就物业服务问题达成一致，决定各自走法律程序。</t>
        </is>
      </c>
      <c r="D5" s="10" t="n">
        <v>58.4</v>
      </c>
      <c r="E5" t="inlineStr">
        <is>
          <t>21511/1654</t>
        </is>
      </c>
    </row>
    <row r="6" ht="13.5" customHeight="1" s="9">
      <c r="A6" s="6" t="inlineStr">
        <is>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is>
      </c>
      <c r="B6" s="2" t="inlineStr">
        <is>
          <t>工作研讨会</t>
        </is>
      </c>
      <c r="C6" t="inlineStr">
        <is>
          <t># 具身智能与大模型融合圆桌论坛纪要
## 研讨概述
本次圆桌论坛围绕具身智能与大模型融合展开，由主持人代表多模态大模型与具身智能融合方向，邀请四位博士生及多位学术界、产业界嘉宾参与。论坛聚焦模型形态、世界模型定义、强化学习与模仿学习路线、数据采集与仿真数据等核心议题，各方从学术与产业视角展开深入探讨，普遍认同软硬件协同优化是具身智能发展的关键范式。
在硬件与模型形态讨论中，发言者3提出机械智能概念，强调软手的摩擦与顺应性可提升抓取鲁棒性；发言者4指出硬件需高寿命与高可靠性，现有工业机械臂不适合大规模真机评估；发言者5认为大模型不应从上到下完全统一，至少应分上下层，小脑应自适应肢体；发言者6认为人形机器人与特种机器人将并存，并引用马斯克公司投入一半精力研发22自由度灵巧手的案例。
世界模型讨论中，发言者8从强化学习角度强调可交互性，引用1990-91年Dyna-Q文章；发言者7认为CV界追求重建物理世界，可作为RL世界模型的工具，但当前仍不成熟，并提出数据规模决定是否需要inductive bias的观点；发言者5用游戏与物理世界对比，认为世界模型可能无法统一，但policy可能统一；发言者9认为CV世界模型对强化任务不必要，强化世界模型应针对任务。
强化学习与模仿学习路线讨论中，发言者10介绍公司采用模型强化加机理融合方式，指出监督学习数据分布不足、强化学习依赖仿真环境；发言者9认为复杂任务应先模仿后强化，单独模仿或强化均不可行；发言者5强调反馈作为reward的重要性，认为PID能做的系统必有反馈；发言者11认为模仿学习和强化学习并不冲突，只是获取运动先验的不同方式。
数据采集与仿真数据讨论中，发言者11强调视角和标定对数据质量的重要性，指出Open X等数据集视角不固定；发言者4认为reward采集是低成本方案，终极形态可能是脑机接口或可穿戴设备，并指出互联网视频数据与机器人所需数据差异大；发言者2提到300条仿真数据加20条真机数据可显著提升成功率；发言者7提出2025年应推广无标注真实数据的使用，如segment anything。
## 核心观点
### 硬件与模型形态讨论
- **机械智能概念**：发言者3提出机械智能概念，强调软手的摩擦与顺应性可提升抓取鲁棒性，硬件本体设计应纳入智能考量。
- **硬件可靠性要求**：发言者4指出硬件需高寿命与高可靠性，现有工业机械臂不适合大规模真机评估，容易损坏。
- **分层模型主张**：发言者5认为大模型不应从最上到最下完全统一，至少应分上下层，小脑应自适应肢体。
- **机器人形态并存**：发言者6认为人形机器人和特种机器人都会存在，引用马斯克公司花一半精力做灵巧手、实现22自由度的案例。
- **产品迭代进展**：发言者2提到松龄产品第二代比第一代在遥操和策略部署上更好。
### 世界模型讨论
- **强化学习视角定义**：发言者8从强化学习角度定义世界模型，强调可交互性，引用1990-91年Dyna-Q文章作为理论依据。
- **CV世界模型的工具价值**：发言者7认为CV界追求重建物理世界，可作为RL世界模型的工具，但当前仍不成熟。
- **数据规模与归纳偏置**：发言者7提出数据规模决定是否需要inductive bias——数据多时所需偏置少，数据少时所需偏置多，并计划撰写data bias trade off相关论文。
- **世界模型与策略的统一性分歧**：发言者5用游戏与物理世界对比，认为相同观测可能产生不同输出，世界模型存在歧义问题，可能无法统一，但policy可以适应不同环境、可能统一。
- **CV世界模型的必要性存疑**：发言者9认为强化学习的目标是学策略，只需latent state和reward，不需要完整3D重建，CV世界模型对强化任务不必要，强化世界模型应针对任务。
### 强化学习与模仿学习路线讨论
- **模型强化加机理融合**：发言者10介绍公司采用模型强化加机理融合方式，指出监督学习数据分布不足，强化学习依赖仿真环境。
- **先模仿后强化**：发言者9认为复杂任务应先模仿后强化，单独模仿或强化均不可行。
- **反馈作为奖励**：发言者5强调反馈作为reward的重要性，认为PID能做的系统必有反馈。
- **两条路线不冲突**：发言者11认为模仿学习和强化学习并不冲突，只是获取运动先验的不同方式。
### 数据采集与仿真数据讨论
- **数据质量关键因素**：发言者11强调视角和标定对数据质量的重要性，指出Open X等数据集视角不固定。
- **低成本奖励采集方案**：发言者4认为reward采集是低成本方案，终极形态可能是脑机接口或可穿戴设备。
- **互联网数据与机器人数据差异**：发言者4指出互联网视频数据与机器人所需数据差异大，如叠衣服视频与机器人实际场景不符。
- **仿真与真机数据结合**：发言者2提到仿真数据与真实数据结合，300条仿真数据加20条真机数据可显著提升成功率。
- **无标注真实数据推广**：发言者7提出2025年应推广无标注真实数据的使用，如segment anything。
## 研讨方案
- **软硬件协同优化**：与会者普遍认为具身智能需要软硬件协同优化，硬件形态与模型设计应统筹考虑。
- **世界模型跨领域借鉴**：世界模型在强化学习和计算机视觉领域关注点不同，但可相互借鉴，CV重建可作为RL世界模型的工具。
- **先模仿后强化路线**：复杂任务应先模仿学习再强化学习，单独模仿或强化均不可行。
- **数据质量优先**：数据采集应注重视角和标定，保证数据质量。
- **仿真与真机数据融合**：仿真数据与真实数据结合可提升策略成功率，少量真机数据配合仿真数据即可显著改善效果。
## 未决后续
- **模型形态未定**：具身智能的最终模型形态是统一模型还是分层模型，各方观点尚未收敛。
- **世界模型表征待验证**：世界模型是否需要3D表征，强化学习与CV视角存在分歧，有待进一步验证。
- **国产仿真生态替代**：国产仿真系统能否替代英伟达生态，尚未形成明确结论。
- **真机数据采集规模化**：如何大规模采集高质量真机数据，仍是制约发展的关键问题。</t>
        </is>
      </c>
      <c r="D6" s="10" t="n">
        <v>61.2</v>
      </c>
      <c r="E6" t="inlineStr">
        <is>
          <t>21458/2612</t>
        </is>
      </c>
    </row>
    <row r="7" ht="13.5" customHeight="1" s="9">
      <c r="A7" s="6" t="inlineStr">
        <is>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is>
      </c>
      <c r="B7" s="2" t="inlineStr">
        <is>
          <t>庭审记录</t>
        </is>
      </c>
      <c r="C7" t="inlineStr">
        <is>
          <t># 国开行与东源煤电等金融借款合同纠纷二审调解结案
## 庭审概况
本案系国家开发银行与云南东源煤电、东源曲靖电力、招银金融租赁公司金融借款合同纠纷二审庭审，由最高人民法院审判员李少平担任审判长，与审判员魏文超、黄年、王海峰、葛洪涛组成合议庭公开开庭审理，法官助理张瑞。上诉人国家开发银行委托北京德恒昆明律师事务所邓劲松、刘双俊律师出庭；被上诉人东源煤电、东源煤业委托云南勤业律师事务所吴学成律师及公司员工李新海出庭；东源曲靖电力出庭人员与东源煤电一致；招银租赁委托公司员工万海龙及上海盈泰律师事务所陈志超律师出庭。各方围绕三个争议焦点展开辩论：国开行对案涉设备抵押权是否构成善意取得、一审判决对借款罚息复息的计算及起算日期是否错误、东源煤电及东源煤业是否应连带给付违约金。庭审中，各方就融资租赁登记系统的查询方式、登记性质、举证责任等充分发表意见，合议庭亦就相关法律问题进行了询问。最终在合议庭主持下，各方达成调解协议，对债权数额、设备处置、费用分担等作出安排。
## 诉辩意见
| 当事方 | 诉讼请求 | 事实与理由 |
| --- | --- | --- |
| 原告（上诉人）国家开发银行 | 请求确认对案涉设备抵押权构成善意取得；主张利息自2017年12月21日计算至2018年6月12日、罚息自2018年6月13日起算、复利自2018年3月21日起算；主张东源煤电、东源煤业连带给付每日千分之一的违约金 | 已按央行规定对抵押人曲靖电力公司进行融资租赁登记查询，未发现登记；设备为通用设备无唯一标识码，审查义务有限；借款合同第6条第4款明确约定对逾期借款利息按罚息利率计收复利，应尊重意思自治；东源煤电未按合同第13条、第14条配合办理账户管理及柜台前移手续，构成违约 |
| 被告（被上诉人）东源煤电、东源煤业 | 主张国开行不构成善意取得；罚息不应作为复利计算基数；违约金请求不成立 | 曾于2015年12月2日通过邮件告知国开行设备存在融资租赁，设备名称相同并红色标注，国开行应尽注意义务；国开行宣布贷款提前到期未给予合理期限，不符合合同约定；援引《人民币利率管理规定》第21条及最高人民法院相关判例，主张罚息不能作为复利基数；国开行未举证证明违约行为，且未按合同约定先行限期纠正 |
| 被告（被上诉人）招银租赁 | 主张国开行未在抵押时点查询，不构成善意取得；东源煤电出资行为系无权处分 | 根据央行规定，国开行应在抵押时点进行融资租赁登记查询，但未提供2015年12月的查询记录；审查义务应扩大至东源煤电，因其为借款人和抵押人的全资控股母公司；案涉5套设备为种类物，无唯一识别码，故未在央行登记系统登记唯一标识码 |
## 举证质证
- **融资情况告知邮件**：东源方出示2015年12月2日邮件及附件《东源公司融资情况统计表》，载明招银租赁抵押物为恩洪电厂设备资产且抵押手续已登记，国开行抵押物为恩洪电厂设备在建工程正在办理，证明国开行应知设备存在融资租赁；国开行质证认为邮件未明确告知设备存在融资租赁。
- **抵押合同签订时间**：国开行与东源煤电签订抵押合同时间为2015年12月22日，晚于东源方邮件发送时间。
- **设备价值与登记情况**：国开行主张在建工程价值5.7亿元、机器设备价值5.1亿元，均未纳入资产负债表；招银租赁回租设备清单载明设备出厂日期为2012年3月1日，国开行现场调查核实抵押设备铭牌生产日期均在2013年以后（部分2013年11月、12月，部分2014年3月）。
- **注册资本证据**：招银租赁一审提交证据第82页、95页载明曲靖电力公司注册资本4亿元且已实缴。
- **融资租赁登记核查表**：国开行提交证据第108页，显示曲靖电力公司无融资租赁登记；国开行自认查询方式仅为按单位名称查询，未保留查询记录；招银租赁主张融资租赁登记系统可通过公司名称或设备信息两种方式查询。
- **利息支付与提前到期函**：东源煤电利息支付截止至2017年12月20日；国开行于2018年6月13日向东源煤电、东源煤业发送偿还贷款本金函，要求当日归还借款。
- **利息计算明细**：国开行主张利息（2017.12.21-2018.6.12）合计21,795,727.68元；罚息（2018.6.13-2019.2.19）合计41,050,579.57元；复利（2018.3.21-2019.2.19）合计1,918,206.23元。
- **合同条款质证**：东源方援引借款合同第6条第4款约定"对不能按期支付的利息计收复利"，主张未明确罚息计复利；援引《人民币利率管理规定》第21条及最高人民法院2015年、2016年相关民事判决，支持罚息不作为复利基数。
## 庭审结果
- **调解协议达成**：合议庭休庭评议后提出调解方案，各方当事人均无异议，同意在调解协议上签字。
- **债权数额确认**：国开行对东源煤电债权总额为6474.4513万元，其中利息2179.5727万元、罚息4105.0579万元、复利191.8206万元。
- **设备权属安排**：招银租赁对涉案6项设备享有所有权，对应债权数额1377.4137万元；国开行对93项设备有抵押权。
- **设备处置方案**：案涉全部发电设备整体盘活处置，变现价款双方各得50%，实现费用双方各担50%；若司法变现不能，双方放弃对案涉设备权益，由东源曲靖电力自主生产经营。
- **执行与配合义务**：调解书生效后20日内，由国开行向一审法院提出执行申请，启动司法处置程序；案涉设备管理费用由东源曲靖电力承担，东源曲靖电力无条件配合司法处置。
- **无争议判项确认**：一审判决第2项、第4项无争议，按判项内容在调解书中确认。
- **诉讼费用分担**：二审诉讼费用由国开行和东源煤电各承担50%。</t>
        </is>
      </c>
      <c r="D7" s="10" t="n">
        <v>83.7</v>
      </c>
      <c r="E7" t="inlineStr">
        <is>
          <t>28485/2420</t>
        </is>
      </c>
    </row>
    <row r="8" ht="13.5" customHeight="1" s="9">
      <c r="A8" s="6" t="inlineStr">
        <is>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is>
      </c>
      <c r="B8" s="2" t="inlineStr">
        <is>
          <t>项目进度会</t>
        </is>
      </c>
      <c r="C8" t="inlineStr">
        <is>
          <t># 玉米面加工厂项目中期验收会议纪要
## 项目概况
本次会议为原占比二玉米面加工厂项目中期验收会议，由验收组组长王总主持。验收组于18、19号提前介入项目摸排，20号召开首次会议，随后安排卢萨卡、蒙泽两个点的内业与外业检查。验收工作总体安排方面，卢萨卡点已完成除带料加工调试以外的所有验收工作；蒙泽点已完成全部验收工作，并顺带进行了全流程试生产；姆皮卡点现场验收工作尚未开展，内业资料已提前拿到卢萨卡点。内业检查分为管理组和技术组，内业资料基本满足项目有关标准和规范要求，竣工文件已达到基本组卷和成册要求，但需进一步规范分类整理和签字。外业检查覆盖建筑、安装、设备三个板块，总体评价良好，主要材料从国内采购或卢萨卡集中采购，三套成套设备运行正常、产能符合设计指标。验收组提出人员履约、内业资料、现场实体等方面的整改要求，管理组田组长与技术组龚总分别作出回应。经参处领导、合作局领导及公司国内林总先后发表意见，强调资料补充、路面开裂原因分析及整改闭环等事项，并部署后续姆皮卡点现场验收工作。
## 进度追踪
| 模块 | 进展 | 状态 |
| --- | --- | --- |
| 卢萨卡点验收 | 已完成除带料加工调试以外的所有验收工作 | 进行中 |
| 蒙泽点验收 | 已完成全部验收工作，并顺带进行全流程试生产 | 已完成 |
| 姆皮卡点验收 | 现场验收尚未开展，内业资料已提前拿到卢萨卡点 | 未开始 |
| 内业资料检查 | 基本满足项目有关标准和规范要求，竣工文件已达基本组卷和成册要求，需进一步规范分类整理和签字 | 进行中 |
| 外业检查—建筑 | 主要材料从国内采购或卢萨卡集中采购，内在品质和外在表观达到良好标准 | 已完成 |
| 外业检查—安装 | 钢结构材料从国内定制，施工工艺和外观质量满足规范要求 | 已完成 |
| 外业检查—设备 | 设备参照中国标准定制，三套成套设备运行正常，产能符合设计指标，机电设备安装符合国家质量检验标准 | 已完成 |
| 人员履约 | 需完善个别人员进出场时间、护照及人员统计 | 进行中 |
| 现场实体整改 | 需处理混凝土路面开裂、监控管线脱落、雨水倒灌等问题 | 进行中 |
## 风险预警
| 风险卡点 | 影响范围 | 责任方/协同方 | 应对举措/跟进建议 |
| --- | --- | --- | --- |
| 混凝土路面开裂 | 可能影响项目移交后的使用，存在大面积开裂隐患 | 管理组、总包单位 | 共同研究开裂原因，制定科学合理的整改方案，并在出报告前完成整改 |
| 雨季雨水倒灌 | 厂区排水系统 | 待明确 | 雨季来临前检查厂区排水系统，防止雨水倒灌 |
| 姆皮卡点路途遥远、路况不佳 | 现场验收交通安全 | 验收组 | 注意交通安全，合理安排行程 |
| 疫情形势特殊 | 全员健康安全 | 待明确 | 注意防疫，落实防护措施 |
| 不可预见费使用依据不足 | 费用合规性 | 待明确 | 完善依据证据的收集与归档 |
| 内业资料分类整理与签字不规范 | 竣工文件组卷质量 | 技术组 | 按规范分类整理，及时汇总至卢萨卡并组卷 |
## 后续计划
- **整改方案制定**：管理组田组长会后与技术组共同细化问题并制定方案处理，时间节点待定。
- **人员统计与护照收集**：技术组龚总负责开展人员统计和护照收集工作，完善个别人员进出场时间及人员统计。
- **内业资料汇总组卷**：技术组在验收完成后第一时间将三个厂区资料汇总至卢萨卡，分类组卷及编码，严格按验收组要求及援外项目执行手册执行。
- **现场实体整改**：技术组编制现场实体整改方案并逐一落实，重点处理混凝土路面开裂、监控管线脱落、雨水倒灌等问题。
- **路面开裂原因分析**：管理组和总包单位共同研究混凝土路面开裂原因，制定科学合理的整改方案，并在出报告前完成整改。
- **姆皮卡点现场验收**：验收组安排姆皮卡点的现场验收工作，具体时间待定，内业资料已提前拿到卢萨卡点。</t>
        </is>
      </c>
      <c r="D8" s="10" t="n">
        <v>50.7</v>
      </c>
      <c r="E8" t="inlineStr">
        <is>
          <t>11110/1689</t>
        </is>
      </c>
    </row>
    <row r="9" ht="13.5" customHeight="1" s="9">
      <c r="A9" s="6" t="inlineStr">
        <is>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is>
      </c>
      <c r="B9" s="2" t="inlineStr">
        <is>
          <t>新闻发布</t>
        </is>
      </c>
      <c r="C9" t="inlineStr">
        <is>
          <t># 中金宏观策略争论周会：聚焦大美丽法案、关税、港股流动性及光伏、人形机器人、游戏板块
## 发布会概况
中金公司策略组于周一召开宏观策略争论周会，由策略组主持人刘刚凯文主持，围绕大美丽法案、关税谈判、港股流动性及光伏、人形机器人、游戏等板块展开讨论。凯文基于信用周期框架，认为市场对去美元化担忧过度，美股创新高、纳斯达克自底部反弹35%，去美元化是宏大叙事且兑现时间不确定，美元弱不等于去美元化，也不等于美股弱。他判断美国经济环比改善，财政扩张利好中长期，但三季度美债供给增加、美元流动性边际收紧，波动提供再配置机会。随后风光公用事业首席分析师刘佳妮分析光伏反内卷政策升级与行业供需失衡，机械军工分析师郭文秀展望人形机器人三季度三大主线，传媒行业首席分析师张雪琴看好游戏板块政策、消费、新品周期三重利好下的戴维斯双击。宏观层面，大美丽法案提高债务上限5万亿美元并延长减税，关税收入每年3000-4000亿美元可覆盖额外支出，财政赤字率维持在5-6%；
三季度美债供给约1万亿美元，参照2023年三季度利率从3.8%升至5%的历史，本次期限溢价已处13年高位，利率抬升幅度或不及当时，但供给压力确定。问答焦点集中于关税谈判节奏、港股流动性影响及光伏整合路径，后续安排为持续跟踪8月12日中美谈判与各板块出货信号。
## 核心信息
### 大美丽法案与美股美债展望
- 大美丽法案提高债务上限**5万亿美元**，延长2017年减税（成本**3.4万亿美元**，每年3400亿），并取消899条款
- 关税收入每年**3000-4000亿美元**可覆盖额外支出，财政赤字率维持在**5-6%**
- 三季度美债供给约**1万亿美元**，参照2023年三季度利率从3.8%升至5%、美股下跌4-5%的历史，本次期限溢价已处**13年高位**，利率抬升幅度或不及当时
- 纳斯达克自底部反弹**35%**，美股创新高，市场对去美元化担忧过度
### 关税谈判与港股流动性
- 关税大概率要做以支撑收入，当前有效税率**10-12%**，极端情况**18%**，税率不能过高以免通胀失控
- 对华关税约**40-50%**，越南转口限制**40%**，需关注**8月12日**中美谈判
- 港股流动性三季度边际收紧，源于美元流动性供给、港币汇率及IPO融资，但基本面可盖过影响，点位维持**23000-24000**区间
- 银行股溢价低于**20%**，港股通红利税后股息率优势减弱
### 光伏反内卷与行业供需
- 全球新增光伏装机从2020年**130GW**增至2024年**530GW**，未来两年需求增速回落至**10%**左右，2025年需求**650-700GW**
- 电池产能为需求**1.5倍**、硅片组件**2倍**、硅料**2.5倍**，产业链价格下跌**70-90%**
- 反内卷政策级别提升，6月底至7月初人民日报、中财委、工信部接连发声；硅料环节集中度高、成本曲线陡峭、供需比超**200%**，最易整合
- 硅料现金成本**38元/公斤**，颗粒硅**28元**，尾部**45元**，多晶硅期货触及**40元/公斤**，硅片报价涨**10%**、电池涨**2分钱**，价格触底企稳
### 人形机器人三季度主线
- 二季度A股机器人板块跌**9%**、跑输机械**12个百分点**，特斯拉供应商股价回调**30-40%**
- 华为发布盘古世界模型和CloudRobot平台，构建云生态主线
- 本土企业技术闭环：智元机器人拟收购上市，宇树科技年收入突破**10亿**，智元、宇树中标中国移动**1.2亿**采购订单
- 特斯拉延期带来硬件替代窗口（电机过热、灵巧手负载不足、续航问题），建议关注出货量跨越**500台或1000台**的信号
### 游戏板块政策与新品周期
- 6月版号发放**158个**（国产147+进口11），为**2018年以来单月最高**
- 1-5月游戏市场规模同比增长**17%**，手游同比增长**20%**
- 吉比特《仗剑传说》首月流水**2亿多**，巨人网络《超自然行动组》6月流水过亿、年化**20亿**
- 板块TTM PE约**30倍**，低于2023年AI行情**45倍**，2025年静态PE约**20倍**
## 官方表态
### 去美元化与美股美债
- **去美元化担忧过度**：市场把美元弱当成去美元化，但美元弱可以有各种各样的原因；去美元化是宏大叙事，无法确定兑现时间，美元弱不等于去美元化，也不等于美股弱
- **信用周期框架**：美国经济环比改善，财政扩张利好中长期，但三季度有流动性抽水效应，波动后提供再配置机会
### 关税谈判
- **关税大概率要做**：以支撑收入，需维持一定税率（当前有效税率10-12%，极端18%）以对冲3000-4000亿支出
- **税率不能过高**：过高通胀受不了，市场逐渐脱敏，关税是谈判技巧，有效税率不高，对通胀影响有限
### 光伏反内卷
- **政府干预必要**：刘佳妮指出供需严重失衡、产能过剩、持续亏损，市场手段收效不明显，期待政府干预，认为在这个位置上有一定必要性
- **硅料最易整合**：集中度高、成本曲线陡峭、供需比超200%，反内卷政策级别提升，价格触底企稳
### 人形机器人
- **三季度三大主线**：华为云生态、本土企业技术闭环、特斯拉延期带来的硬件替代窗口
- **关注出货信号**：建议关注出货量跨越500台或1000台的信号
### 游戏板块
- **三重利好**：政策友好、消费逆周期、新品周期延续，估值仍有提升空间，调整后有望戴维斯双击
## Q&amp;A环节
**问**：如何看待市场对去美元化的担忧？
**答**：刘刚凯文表示不认同去美元化共识，认为市场过度担忧。美股创新高，纳斯达克反弹35%，去美元化是宏大叙事，无法确定兑现时间。美元弱不等于去美元化，美元弱也不等于美股弱，美元弱可以有各种各样的原因。
**问**：光伏行业为何需要政府干预？
**答**：刘佳妮指出光伏行业供需严重失衡，产能过剩，持续亏损，市场手段收效不明显。在这个位置上比较期待政府的干预，也认为是有一定的必要性的。</t>
        </is>
      </c>
      <c r="D9" s="10" t="n">
        <v>64.3</v>
      </c>
      <c r="E9" t="inlineStr">
        <is>
          <t>22868/2605</t>
        </is>
      </c>
    </row>
    <row r="10" ht="13.5" customHeight="1" s="9">
      <c r="A10" s="6" t="inlineStr">
        <is>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is>
      </c>
      <c r="B10" s="2" t="inlineStr">
        <is>
          <t>课堂记录</t>
        </is>
      </c>
      <c r="C10" t="inlineStr">
        <is>
          <t># 梦想主题班会：树立梦想与坚持实现
## 课程概况
本节班会课以“梦想”为主题，由教师主讲，面向班级学生。教师通过提问引入班会主题，学生积极分享各自梦想，如当保安、喜剧人、太空人、世界冠军、歌手等。教师随后分享自己的梦想——成为受学生喜爱的有名望的优秀人民教师，并强调听话、认真完成作业、上课认真听讲是获得老师喜爱的重要条件。班会课内容包含5个大点，围绕梦想主题展开，并以学生自愿为原则，在班会课结束时安排学生唱歌。教师详细讲述个人追梦经历：高中立志考中国美术学院，单考已过，但因定向生政策选择广东技术师范大学（原民族学院），定向回龙川县教书；大学期间保持专业排名第一（专业共41人），并实现加入学生会、参加比赛、考取教师资格证等梦想。教师播放航模爱好者何聪发和普通歌手追梦的视频，组织学生分组讨论实现梦想的条件，并以马云为例说明坚持的关键作用。最后，教师让学生写下梦想清单，逐一展示和点评，鼓励学生将大梦想分解为小目标，量力而行、坚持努力，并要求每个小组第1个同学收齐梦想清单。整节课互动频繁，学生积极参与发言。
## 核心知识点
### 梦想主题引入与教师个人梦想
- **班会主题**：本节班会课以“梦想”为主题，教师通过提问方式引入，鼓励学生分享自己的梦想。
- **教师个人梦想**：成为受学生喜爱的有名望的优秀人民教师；教师强调听话、认真完成作业、上课认真听讲是获得老师喜爱的重要条件。
### 教师个人追梦经历
- **高中阶段**：立志考中国美术学院，单考已过；曾在国旗下讲话立志考中国美术学院，被嘲笑。
- **大学选择**：因定向生政策选择广东技术师范大学（原民族学院），定向回龙川县教书；曾因定向生政策哭三天，但后来逐渐热爱教师行业。
- **大学成就**：大学期间保持专业排名第一（专业共41人）；大学梦想包括加入学生会、参加比赛、保持专业排名第一、考取教师资格证。
- **定向生政策**：定向生不能考研，但可在职考研，学费自理。
- **放弃美术的原因**：学美术需要有钱，自己因没钱而放弃中国美术学院。
### 实现梦想的条件
- **视频案例**：航模爱好者何聪发是中国唯一去法国巴黎比赛的航模选手，目标是带着飞机环游世界，将中国国旗挂在世界各大赛场；计划参加明年的世界锦标赛。
- **实现梦想的条件**：坚持、努力、勇敢、机会、兴趣、能力、学习；机会永远留给有准备的人。
- **马云案例**：中考考两次才考上高中，高考考了多次，现为中国首富；新梦想是在未来的15年里，世界因他们而改变；说明起点高低不重要，坚持才是关键。
### 梦想分解与调整
- **目标分解**：梦想可以逐步调整，如先考进年级前百再前五十；鼓励学生将大梦想分解为小目标。
### 学生梦想清单分享
- **学生梦想示例**：考取630分、拥有健康身体、每天开心、家人平安、世界和平、祖国越来越好；大学四年攒20万、成为设计师、考取师范大学、成为人民教师。
- **教师总结**：梦想需要量力而行、调整目标、坚持努力；要求每个小组第1个同学收齐梦想清单。
## 问答记录
- **实现梦想需要哪些条件**：坚持、努力、勇敢、机会、兴趣、能力、学习，机会永远留给有准备的人。
- **起点低是否影响实现梦想**：起点高低不重要，坚持才是关键；以马云中考考两次、高考考多次最终成为中国首富为例。
- **梦想是否可以调整**：可以逐步调整，如先考进年级前百再前五十，将大梦想分解为小目标。
- **定向生能否考研**：定向生不能考研，但可在职考研，学费自理。
## 课后任务
- **收齐梦想清单**：每个小组第1个同学负责收齐本组梦想清单，并交给老师。
- **复习重点**：回顾实现梦想的条件（坚持、努力、勇敢、机会、兴趣、能力、学习），理解将大梦想分解为小目标的方法，并思考如何量力而行、调整目标、坚持努力。</t>
        </is>
      </c>
      <c r="D10" s="10" t="n">
        <v>52.8</v>
      </c>
      <c r="E10" t="inlineStr">
        <is>
          <t>9362/1627</t>
        </is>
      </c>
    </row>
    <row r="11" ht="13.5" customHeight="1" s="9">
      <c r="A11" s="6" t="inlineStr">
        <is>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is>
      </c>
      <c r="B11" s="2" t="inlineStr">
        <is>
          <t>通用纪要</t>
        </is>
      </c>
      <c r="C11" t="inlineStr">
        <is>
          <t># 通用纪要
## 全文摘要
本次新闻联播围绕国内发展成就与国际动态展开，涵盖文化自信建设、外交访问、农业丰收、交通物流、能源保障及国际事件等主题。节目首先聚焦以文化自信筑牢强国复兴精神之基，展现党的十八大以来文化体制改革的历史性成就；随后报道赵乐际访问俄罗斯并出席中俄议会合作委员会第九次会议，强调立法机构合作；农业方面，夏粮产量创历史新高，单产提升成为关键；铁路货运与快递业指标增长显著；油气管网建设提速，能源保障能力增强。国际新闻则涉及美国前总统特朗普遭遇未遂刺杀、以军空袭加沙等事件。节目通过系列报道展现中国在文化、外交、农业、交通、能源等领域的发展成就，并客观呈现国际动态。
## 要点梳理
### 文化自信与中华民族现代文明建设
- **文化强国战略定位**：强调文化兴国运兴、文化强民族强，14亿多中国人的文化自信更加坚定，文化自觉不断增强。
- **习近平文化思想提出**：2023年6月，习近平总书记主持召开文化传承发展座谈会，系统论述中华文明的五个突出特性，阐述"两个结合"尤其是"第二个结合"的重大意义；2023年10月，全国宣传思想文化工作会议首次提出习近平文化思想。
- **文化体制改革成果**：《深化文化体制改革实施方案》是中央全面深化改革领导小组审议通过的第一个专项小组改革方案；《关于实施中华优秀传统文化传承发展工程的意见》首次以中央文件形式对文化传承发展进行部署。
- **文化产业成就**：我国成为图书、电视剧、动漫等领域生产大国，数字文化产业成为激发消费潜力"新引擎"，电影市场规模屡创新高。
### 赵乐际访问俄罗斯并出席中俄议会合作委员会第九次会议
- **访问概况**：赵乐际应俄罗斯联邦会议国家杜马主席沃洛金和联邦委员会主席马特维延科的邀请，于7月9日至13日对俄罗斯进行正式友好访问。
- **会谈安排**：在圣彼得堡会见总统普京，在莫斯科与马特维延科、沃洛金分别举行会谈，并出席中俄议会合作委员会第九次会议并致辞。
- **合作共识**：双方强调加强立法机构合作，落实两国元首共识，深化务实合作；今年是中俄建交75周年，双方同意从立法机构层面落实元首共识，为巩固政治互信、深化务实合作作贡献。
- **俄方表态**：沃洛金表示俄坚定恪守一个中国原则，反对任何外部势力干涉中国内政。
### 夏粮产量创历史新高
- **产量数据**：今年我国夏粮产量达2996亿斤，比2023年增加72.5亿斤，再创历史新高。
- **单产提升**：夏粮单产每亩达375.2公斤，其中小麦单产达399.1公斤，比2023年增加10公斤，单产提升是产量增加的主要原因。
- **战略支撑**：中央深入推进"藏粮于地、藏粮于技"战略，全国已建成高标准农田10亿多亩，启动小麦单产提升三年行动，中央财政首次提前下拨16亿元小麦"一喷三防"资金。
- **质量水平**：小麦质量为近年来最好水平，主产区一、二等小麦占比普遍较高。
### 铁路货运与快递业发展
- **铁路货运指标**：6月份，国家铁路发送货物3.32亿吨，完成货运周转量2665亿吨公里，同比分别增长6.1%、5.3%，创历史同期新高；化肥农药运量同比增长26.2%，煤炭日均装车量等指标均创历史同期新高。
- **中欧班列运行**：6月份，中欧班列累计开行1719列，发送货物18万标箱，同比分别增长15%、11%。
- **快递业发展**：上半年我国快递业务量超800亿件，截至6月30日已达800亿件；每天超1亿件快递包裹在农村地区流动，5—6月快递日均业务量近5亿件。
### 油气管网建设与能源保障
- **建设规模**：预计全年新增管道里程超4000公里，西气东输四线今年投产后，年输气能力将提升150亿立方米。
- **管网能力**：我国主干油气管网约10万公里，输气能力从2020年2230亿立方米增加到3290亿立方米，增幅达48%；天然气"全国一张网"日供气能力超10亿立方米。
- **规划目标**：到2025年，初步形成东北、西北、西南以及海上四大油气战略通道，建成"五纵五横"的天然气干线管网。
### 国内联播快讯与国际新闻
- **北京重大项目**：上半年320个市区重大项目全部开工，总投资超过4000亿元。
- **燕矶长江大桥**：北岸主塔封顶，主跨1860米，上层为高速公路，下层为城市快速路。
- **环青海湖自行车赛**：第二十三届赛事收官，22支车队154名运动员参赛。
- **草原那达慕**：内蒙古第34届草原那达慕以"相约草原遇见那达慕"为主题开幕，持续到8月底。
- **中非儿童手拉手活动**：由外交部、全国妇联主办，来自纳米比亚、南非、中非、索马里、乌干达五国儿童代表参加。
- **国际事件**：特朗普竞选集会遭枪击，右耳中枪受伤，一名观众死亡，两名观众重伤；以军空袭加沙地带马瓦西地区致90人死亡，约300人受伤；加拿大纽芬兰与拉布拉多省林火过火面积100平方公里，9600人被疏散。
## 结论与决定
- **中俄立法机构合作**：赵乐际访问俄罗斯期间，双方同意加强立法机构合作，落实两国元首共识，为巩固政治互信、深化务实合作作贡献。
- **中俄战略协作**：中俄议会合作委员会第九次会议明确要密切战略协作，服务中俄关系发展大局。
- **粮食安全战略**：中央深入推进"藏粮于地、藏粮于技"战略，实施小麦单产提升三年行动，保障夏粮稳产增产。
- **油气管网规划**：我国油气管网建设规划到2025年形成四大油气战略通道和"五纵五横"干线管网，提升能源供应保障能力。</t>
        </is>
      </c>
      <c r="D11" s="10" t="n">
        <v>61.2</v>
      </c>
      <c r="E11" t="inlineStr">
        <is>
          <t>7755/2330</t>
        </is>
      </c>
    </row>
    <row r="12" ht="13.5" customHeight="1" s="9">
      <c r="A12" s="6" t="inlineStr">
        <is>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is>
      </c>
      <c r="B12" s="2" t="inlineStr">
        <is>
          <t>课堂记录</t>
        </is>
      </c>
      <c r="C12" t="inlineStr">
        <is>
          <t># 初中物理光学复习：直线传播、反射与面镜成像
## 课程概况
本课为初中物理光学复习课，主讲教师系统梳理几何光学三大板块：光的直线传播、光的反射、平面镜与球面镜成像。课程从几何光学历史引入，指出初中光学属几何光学范畴，高中将转向波动光学。教师建立三讲学习框架，涵盖直线传播、反射（平面镜、凸面镜、凹面镜）与折射（凸透镜、凹透镜及应用），并强调光沿直线传播、反射定律与面镜成像是本课核心。课堂穿插大量生活实例、实验演示与习题讲解，多次强调保护视力重要性。光的直线传播部分定义光源与光线，通过玻璃罩烟雾实验与吸管弯折实验证明光在均匀介质中沿直线传播，并讲解小孔成像、日食月食、影子等实例及光速数值。光的反射部分通过实验引入反射定律，明确三线共面、分居两侧、反射角等于入射角，并辨析镜面反射与漫反射。平面镜成像部分通过玻璃板、蜡烛实验探究正立、等大、虚像的特点，球面镜部分介绍凸面镜发散与凹面镜汇聚作用及应用。课程节奏紧凑，讲练结合，习题覆盖各知识点。
## 核心知识点
### 光学总览与光的直线传播
- **几何光学范畴**：几何光学从2000多年前古希腊时期开始研究，初中阶段学习光的直线传播、反射、折射规律，高中将学习光的干涉、衍射等波动光学。
- **光源定义**：自身能够发光的物体，分为自然光源（如太阳、萤火虫）和人造光源（如火把、蜡烛、煤油灯、电灯）。
- **光线模型**：用一条带有箭头的直线代表，是物理模型，不是真实存在。
- **光沿直线传播条件**：光在均匀介质中沿直线传播，可用玻璃罩烟雾实验（激光笔+熏香）和吸管弯折实验证明。
  - 大气层不均匀导致光发生偏折，因此太阳越出地平线、星星眨眼都是光在不均匀介质中的现象。
- **直线传播实例**：三点一线瞄准、激光准直、小孔成像、日食月食、影子形成。
  - 小孔成像特点：倒立的实像，放大缩小不一定，与孔形状无关；太阳光斑是太阳通过树叶缝隙形成的小孔成像，是缩小的实像。
  - 日食时太阳、月球、地球在同一直线，月球在中间；日全食在1号区域，日偏食在2、3区域，日环食在4号区域。
  - 月食时太阳、地球、月球在同一直线，地球在中间；月全食是月球完全进入地球阴影（1号区域），月偏食是月球部分在1号区域、部分在2或3区域。
- **光速数值**：光在真空中的传播速度是3×10^8米/秒（3×10^5千米/秒），即每秒30万公里，一秒钟绕地球赤道7圈半。
  - 光在空气中速度约为2.99×10^8米/秒，比真空中略慢；在水中约为真空中的3/4，在玻璃中约为真空中的2/3。
  - 海水清澈时太阳光最多到达约200米深度。
### 光的反射定律与作图
- **反射定律**：反射光线、入射光线、法线在同一平面内（共面）；反射光线和入射光线分居法线两侧；反射角等于入射角。
- **法线概念**：垂直于镜面的辅助线，是入射角与反射角的角平分线，实际不存在，画虚线。
- **垂直入射特例**：光垂直射到镜面上时，入射角和反射角都是0度。
- **作图步骤**：先画法线，再根据反射角等于入射角画入射或反射光线，利用等腰三角形对称性快速作图，保留法线痕迹。
- **习题要点**：反射光线与平面镜夹角40度时，入射角为50度（与法线夹角）；入射光线与法线夹角60度时，反射角60度；反射光线与入射光线夹角80度时，反射角40度。
### 镜面反射与漫反射
- **镜面反射**：一束平行光射到光滑镜面，反射光线平行；人眼在反射光线上才能看到。
- **漫反射**：表面凹凸不平，将每个小面看作小平面镜，反射光线射向各个方向。
- **生活实例**：生活中大多数反射是漫反射，如黑板、电影银幕、投影幕布。
  - 电影院白色荧幕对光产生漫反射；教室某些位置看黑板只看到光亮看不清粉笔字，是黑板发生镜面反射。
- **雨后水潭问题**：迎着月光走，地面发亮处是水潭（镜面反射）；背着月光走，地面发暗处是水潭。
- **手电筒照镜子实验**：垂直照射时，斜看镜子是黑的、周围白纸是亮的，因为镜子发生镜面反射（光返回），白纸发生漫反射。
- **光路可逆**：小明能看到小刚在平面镜中的像，则小刚也一定能看到小明在平面镜中的像；镜面反射和漫反射都遵守反射定律。
### 平面镜成像及应用
- **成像特点**：正立、等大、虚像，像与物连线垂直镜面，像距等于物距。
- **实验设计**：用玻璃板代替平面镜便于确定像的位置；刻度尺用于比较像与物到镜面距离；两段相同蜡烛用于比较像与物大小。
- **虚像性质**：虚像不能用光屏接收，因为实际光线没有到达像的位置；物体靠近玻璃板时，像的大小不变。
- **实验误差原因**：蜡烛到玻璃板距离与像到玻璃板距离不相等，原因是玻璃板与水平面不垂直，或玻璃板有厚度（两个面反射成像）。
- **应用实例**：视力表利用平面镜扩大空间；平静水面倒影（水面充当平面镜）。
  - 视力表距镜子3.5米，人距镜子1.5米时，通过平面镜看到虚像距离为5米；视力表距镜子3米，人距镜子2米即可。
  - 人站在平面镜前1米处，人与像距离2米；人远离平面镜，像的大小不变。
### 球面镜及其应用
- **凸面镜**：对光线起发散作用，成正立、缩小的虚像，应用于汽车后视镜、丁字路口转弯镜。
- **凹面镜**：对光线起汇聚作用，焦点处放置光源可得到平行光，应用于手电筒、汽车前大灯、探照灯、耳鼻喉科检查镜、太阳灶。
- **历史典故**：阿基米德利用妇女的梳妆镜（平面镜）围成凹面，汇聚光线烧毁敌人帆船。
- **光污染危害**：玻璃幕墙做成凹面会汇聚阳光，导致树木被烧死（学校枣树三年全死），还可能引燃电线，造成光污染。
## 问答记录
- **光在均匀介质中沿直线传播如何证明**：通过玻璃罩烟雾实验（激光笔+熏香）和吸管弯折实验证明；大气层不均匀导致光发生偏折，因此太阳越出地平线、星星眨眼都是光在不均匀介质中的现象。
- **小孔成像的特点是什么**：成倒立的实像，放大缩小不一定，与孔形状无关；太阳光斑是太阳通过树叶缝隙形成的小孔成像，是缩小的实像。
- **日食与月食的成因区别**：日食时太阳、月球、地球在同一直线，月球在中间，日全食在1号区域、日偏食在2、3区域、日环食在4号区域；月食时地球在中间，月全食是月球完全进入地球阴影（1号区域），月偏食是月球部分在1号区域、部分在2或3区域。
- **光垂直射到镜面上时入射角是多少**：入射角和反射角都是0度，而非90度。
- **镜面反射与漫反射的区别**：镜面反射发生在光滑表面，反射光线平行，人眼在反射光线上才能看到；漫反射发生在凹凸不平表面，将每个小面看作小平面镜，反射光线射向各个方向；两者都遵守光的反射定律。
- **雨后夜晚如何判断水潭位置**：迎着月光走，地面发亮处是水潭（镜面反射）；背着月光走，地面发暗处是水潭。
- **平面镜成像实验中为何用玻璃板代替平面镜**：便于确定像的位置；刻度尺用于比较像与物到镜面距离，两段相同蜡烛用于比较像与物大小。
- **虚像能否用光屏接收**：不能，因为实际光线没有到达像的位置。
- **平面镜成像实验误差原因**：玻璃板与水平面不垂直，或玻璃板有厚度导致两个反射面成像。
## 课后任务
- **复习光的直线传播**：掌握光源分类（自然光源与人造光源）、光线是物理模型、光在均匀介质中沿直线传播的条件，重点复习小孔成像特点、日食月食成因及光速数值（真空中3×10^8米/秒，水中约为真空的3/4，玻璃中约为2/3）。
- **复习光的反射定律**：牢记三线共面、分居两侧、反射角等于入射角，掌握法线画法与作图步骤，注意垂直入射时入射角和反射角均为0度。
- **辨析镜面反射与漫反射**：理解两者区别及生活实例（黑板、电影银幕、雨后水潭、手电筒照镜子），明确两者都遵守光的反射定律。
- **复习平面镜成像**：掌握正立、等大、虚像的特点，理解实验设计原理（玻璃板、刻度尺、两段相同蜡烛的作用）及误差原因。
- **复习球面镜应用**：掌握凸面镜发散、凹面镜汇聚的作用及应用场景（汽车后视镜、手电筒、太阳灶等），了解凹面镜汇聚光线的潜在危害（光污染）。
- **完成课后习题**：巩固第10–24题涉及的光速、反射角计算、镜面反射与漫反射辨析、平面镜成像距离计算等题型，重点掌握作图题步骤。</t>
        </is>
      </c>
      <c r="D12" s="10" t="n">
        <v>94.90000000000001</v>
      </c>
      <c r="E12" t="inlineStr">
        <is>
          <t>25691/3477</t>
        </is>
      </c>
    </row>
    <row r="13" ht="13.5" customHeight="1" s="9">
      <c r="A13" s="6" t="inlineStr">
        <is>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is>
      </c>
      <c r="B13" s="2" t="inlineStr">
        <is>
          <t>课堂记录</t>
        </is>
      </c>
      <c r="C13" t="inlineStr">
        <is>
          <t># 《电气工程基础》第一章导论：电力系统基本概念与发展历程
## 课程概况
本次课程为《电气工程基础》第一章导论，主讲人系统讲授电力系统的基本概念、发展历史、组成环节与分类方法。课程目标明确为两点：掌握发电、输电、配电、用电四个典型环节的构成、工作原理及其与电力系统整体的关系；掌握电力系统分析、设计、运行管理的基础理论、基本技术与计算方法。前修课程要求电路理论与电机学知识，特别是变压器和同步电机；后续衔接电力系统分析、电力系统机电保护、电力系统自动化、高电压技术四门课程。第一章被定位为概念最多、最重要的章节，学习难点集中在电能不能大量储存所决定的有功无功动态平衡、额定电压规定、中心点接地方式三方面。 电力发展简史部分，主讲人从直流输电讲起，梳理了福泰勒2000米导线试验、1874年俄国4.5公里线路、1882年德普勒57公里试验线路等早期工程，指出直流输电受限于电压提升困难、设备复杂、造价高、可靠性差。随后转入交流输电兴起，重点讲述爱迪生与威斯汀豪斯的交直流电力战争，最终交流输电凭借三相三线制传输效率最高、金属消耗量最小、易于产生旋转磁场、瞬时功率恒定等优势占据主导地位。交流输电电压等级提升的里程碑事件被完整梳理，直流输电在现代复兴并出现多个标志性工程。课程后半部分阐述电力系统形成过程，给出电力系统、电力网、动力系统的精确定义，并按规模将电网分为地方电力网、区域电力网、超高压远距离输送网络三类。
## 核心知识点
### 课程目标与学习要求
- **课程目标**：掌握发电、输电、配电、用电四个典型环节的构成、工作原理及与电力系统整体的关系；掌握电力系统分析、设计、运行管理方面的基础理论、基本技术与计算方法。
- **前修与后续课程**：前修要求电路理论、电机学，特别是变压器和同步电机知识；后续衔接电力系统分析、电力系统机电保护、电力系统自动化、高电压技术。
- **第一章学习内容**：基本概念、电力系统特点、要求、电能质量指标、接地方式。
- **学习难点**：电能不能大量储存决定的有功无功动态平衡、额定电压规定、中心点接地方式。
### 电力发展简史：直流输电阶段
- **早期直流试验**：福泰勒用2000米导线连接瓦斯发电机，拖动直流发电机和电动机，证明直流输电可行。
- **1874年俄国工程**：在彼得堡建成4.5公里直流输电线路，传输功率4.5千瓦。
- **1882年德普勒试验**：架设首条57公里直流试验线路，首端电压343伏、末端850伏，输送功率200瓦，损耗78%。
- **1883年德普勒试验**：从法国南部进行14公里输电试验，输送功率1.1千瓦，损耗55%。
- **1882年直流三线制**：英国科学家发明，外线与中线电压110伏，两外线间220伏。
- **19世纪末法国工程**：方剑串联多台直流发电机，将75千瓦电力输送75千米。
- **20世纪初瑞典工程**：在串联直流发电机上装短路器，实现不停电投切，后续20多年建成15条直流输电线路。
- **1906年慕尼黑水电厂到里昂线路**：180公里、57千伏、4700千瓦；1927年改建为260公里、125千伏、19000千瓦，接入两座水电站。
### 交流输电的兴起与交直流之争
- **关键技术发明**：1876年俄国科学家发明单相变压器（主要用于照明）；1883年特斯拉制造出感应电机；1885年匈牙利科学家设计多台变压器并联运行方式；1886年俄国科学家发明三相交流电、三相交流输电和三相异步电动机。
- **威斯汀豪斯示范工程**：1886年在美国麻省进行1.2千米30千伏交流输电示范，同年在意大利率先建成17英里高压输电线路。
- **交直流电力战争**：爱迪生与凯尔文主张直流电效率高、交流电有危险性，甚至用交流发电机执行死刑来证明；威斯汀豪斯与特斯拉主张交流电易于变压升降、减少电能损失。标志性事件为法国到德国的交流输电线路，采用三相发电机和升压变压器，在法兰克福建两座降压变电站。
  - 1898年发明瓷绝缘子，美国加州输电电压升至33千伏。
  - 1906年发明悬式绝缘子，建成110千伏高压输电。
  - 1912年发现电晕临界电压与导线直径成比例，铝线和钢芯铝绞线开始应用，美国建成154千伏线路。
  - 1923年均压阀技术应用，建成220千伏输电线路。
  - 1936年美国287千伏线路投运；1952年瑞典建成380千伏线路，首次采用分裂导线。
  - 1956年苏联400千伏双回线路投入运行；1965年加拿大建成735千伏输电系统。
  - 1969年美国765千伏线路并入电网；1985年苏联1150千伏特高压线路投运，后降压至500千伏运行。
- **中国电压等级发展**：220千伏1941年投运，330千伏1972年，500千伏1981年，1000千伏2009年投运。
### 直流输电的复兴与现代直流工程
- **1954年瑞典工程**：本土与哥特兰岛建成世界第一个工业用海底电缆直流工程，电压100千伏、96公里，采用汞弧阀。
- **1970年瑞典扩建**：50千伏、1万千瓦晶闸管换流阀试验工程。
- **1972年加拿大工程**：投运世界第一个晶闸管换流阀背靠背直流工程。
- **中国直流工程**：第一个直流输电工程连接舟山群岛与浙江定海电网；1989年葛上直流（葛洲坝电厂到上海）±500千伏；今年6月投运云广直流±800千伏特高压直流工程。
### 三相交流输电的优势与电力系统形成
- **三相交流系统三大优点**：易于产生旋转磁场、瞬时功率恒定、导线金属消耗量最少；三相三线制传输效率最高、金属消耗量最小。
- **电力系统形成过程**：从单机向负荷供电，到多机互联提高可靠性，再通过升压输电扩大距离。
- **升压输电原理**：输电线路电阻和电抗导致电压损耗和功率损耗，距离不能过长；升压后电流减小，有功损耗I²R和电压降落IZ均减小，输电距离可延长。
### 电力系统、电力网、动力系统概念与电网分类
- **电力系统定义**：发电机、变压器、输电线路和用电设备构成的整体，完成电能生产、输送、分配、消耗四个职能。
- **电力网定义**：电力系统中去除发电机和用电设备的部分，即变压器和输电线路构成的网络。
- **动力系统定义**：电力系统加上发电厂动力部分（火电锅炉汽机、水电水轮机水坝等）。
  - 地方电力网：电压等级110千伏及以下，供电半径20-50公里。
  - 区域电力网：110、220千伏及少量500千伏，供电半径超50公里。
  - 超高压远距离输送网络：500千伏或1000千伏，东北有330千伏。
- **分类实例**：武汉电网属地方电力网，华中电网属区域电网，三峡到上海输电线路属超高压远距离输送网络。
- **变电站分类**：按最高电压等级（如10千伏、220千伏、500千伏变电站），按功率流向分为升压变电站和降压变电站。
## 问答记录
- **直流输电为何被交流输电取代**：直流输电设备复杂、运行方式复杂、造价高、可靠性差，且电压提升困难，难以满足远距离大容量输电需求；交流电易于利用变压器升压降压，在电压提高状态下减少电能损失。
- **交流输电为何占据主导地位**：三相交流系统具有易于产生旋转磁场、瞬时功率恒定、导线金属消耗量最少三大优点，三相三线制传输效率最高、金属消耗量最小。
- **输电距离为何不能过长**：输电线路的电阻和电抗导致电压损耗和功率损耗，距离过长会显著降低效率和电压质量；升压后电流减小，有功损耗I²R和电压降落IZ均减小，输电距离得以延长。
## 课后任务
- **课后阅读**：阅读主讲人推荐的三本书籍，巩固第一章基本概念。
- **复习重点**：重点掌握电力系统、电力网、动力系统三个核心概念的定义与区别；梳理直流输电到交流输电再到交直流混合输电的发展历程及关键里程碑事件；理解三相交流输电的优势原理（旋转磁场、瞬时功率恒定、金属消耗量最少）；掌握电网按规模的分类标准（地方电力网、区域电力网、超高压远距离输送网络）及对应电压等级与供电半径；复习升压输电的必要性及I²R有功损耗、IZ电压降落的物理意义。
- **预习要求**：预习第二章内容，重点关注电力系统的特点与要求、电能质量指标及中心点接地方式等学习难点。</t>
        </is>
      </c>
      <c r="D13" s="10" t="n">
        <v>80.40000000000001</v>
      </c>
      <c r="E13" t="inlineStr">
        <is>
          <t>11163/3464</t>
        </is>
      </c>
    </row>
    <row r="14" ht="13.5" customHeight="1" s="9">
      <c r="A14" s="6" t="inlineStr">
        <is>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is>
      </c>
      <c r="B14" s="2" t="inlineStr">
        <is>
          <t>知识笔记</t>
        </is>
      </c>
      <c r="C14" t="inlineStr">
        <is>
          <t># 评论调和级数发散证明：从分组估计到Stolz定理的数学方法评析
## 知识概述
本期视频为UP主皮卡新系列“评论”的试水之作，核心是带领观众浏览并评论Stack Exchange（MSE）上关于调和级数收敛/发散问题的网友回答。皮卡首先从高中数学角度解释了级数收敛与发散的定义：收敛即部分和sn存在固定上界a，发散即能构造单向递增且永无止境的下界bn。随后依次评论三个网友的证明方法：第一个通过分组估计（每组和大于1/2）证明发散，皮卡指出其与柯西凝聚判别法思路一致，并联想到高斯求和的分组思想；第二个利用指数函数不等式e^{H_n} &gt; ∏(1+1/k) = n+1证明H_n &gt; log(n+1)，皮卡认为其技巧性强但本质与对数差分不等式一致，有“装逼”之嫌；第三个利用Stolz定理证明H_n与log n同阶，皮卡认为其“超纲”且不自然，是“先射箭后画靶”。整场视频以主观评论为主，穿插数学知识讲解，旨在分享个人见解与数学联想。
## 核心概念
### 级数收敛与发散的定义
- **收敛定义**：对于任意n，部分和sn都小于某个固定实数a（上界），则级数收敛。
- **发散定义**：若能证明sn大于某个单向递增且永无止境的bn，则级数发散。
- **判定逻辑**：从高中数学角度出发，通过判断部分和是否有上界来判定收敛，通过构造无界下界来判定发散，为后续评论网友证明方法奠定基础。
### 分组估计证明
- **分组策略**：将调和级数分组——1单独一组，1/2+1/3一组，1/4+1/5+1/6+1/7一组，1/8~1/15一组，每组和都大于1/2，从而证明级数发散。
- **与柯西凝聚判别法的联系**：皮卡指出该证明与柯西凝聚判别法的证明思路完全一致，均通过分组取上界或下界来估计部分和。
- **柯西凝聚判别法**：非负不增序列的级数收敛性与∑2^k · a_{2^k}相同。
- **高斯求和联想**：高斯计算1+2+...+100时采用分组求和（1+100=101，2+99=101等），只需数有多少个101，与分组估计思想相通。
- **拓展思路**：皮卡提到“dialectic分解”作为进一步拓展方向，但受视频时长限制未展开。
### 指数函数不等式证明
- **证明路径**：利用e^x &gt; 1+x，得到e^{H_n} = ∏e^{1/k} &gt; ∏(1+1/k) = n+1（相邻项相消），从而H_n &gt; log(n+1)，证明发散。
- **本质剖析**：皮卡认为该方法技巧性强，但本质与对数差分不等式一致，两边取对数即可得到相同结论。
- **评价**：皮卡认为该证明有“装逼”之嫌，是“变魔术”式的证明，写法故弄玄虚，妨碍理解。
### Stolz定理证明
- **证明路径**：利用Stolz定理（分子分母都趋于无穷时考虑差分比值的极限），H_n的差分是1/(n+1)，log(n+1)的差分是log(1+1/n)，两者比值极限为1，证明H_n与log n同阶，从而发散。
- **评价**：皮卡认为该方法“超纲”且不自然，是“先射箭后画靶”——证明者事先知道H_n ~ log n，才选择除以log n，而非log log n或根号n。
## 核心结论
### 关键判断与结论
- **分组估计证明与柯西凝聚判别法思路一致**：第一个网友的分组估计证明（每组和大于1/2）与柯西凝聚判别法的证明思路完全一致，均通过分组取上界或下界估计部分和，是自然且有效的证明方式。
- **指数函数不等式证明本质与对数差分不等式一致**：第二个网友利用e^x &gt; 1+x和连乘积相消证明H_n &gt; log(n+1)，虽然巧妙，但本质是log的差分不等式，两边取对数即可得到，因此是“变魔术”式的证明，写法故弄玄虚，妨碍理解。
- **Stolz定理证明不自然，是“先射箭后画靶”**：第三个网友利用Stolz定理证明H_n与log n同阶，但证明者事先知道H_n ~ log n，才选择除以log n，如果不知道答案，不可能凭空蒙出log n，因此该方法“超纲”且不自然。
- **后续计划**：皮卡表示如果反响不错会出下一期，继续找帖子评论，也欢迎网友投稿分享解决某些问题的尝试思路。
### 易混辨析与适用边界
- **分组估计与柯西凝聚判别法**：两者证明思路一致，但分组估计是具体实例的直观呈现，柯西凝聚判别法是更一般的定理表述，适用于非负不增序列的级数收敛性判定。
- **指数函数不等式与对数差分不等式**：两者本质相同，指数函数不等式通过e^x &gt; 1+x包装，形式上更“巧妙”，但理解上不如直接取对数直观，存在“故弄玄虚”的写法倾向。
- **Stolz定理的适用前提**：Stolz定理适用于分子分母都趋于无穷的情形，通过差分比值的极限判断原序列比值极限，但选择除以哪个函数（log n、log log n或根号n）需要事先知道答案，否则难以自然构造。</t>
        </is>
      </c>
      <c r="D14" s="10" t="n">
        <v>58.6</v>
      </c>
      <c r="E14" t="inlineStr">
        <is>
          <t>7465/2061</t>
        </is>
      </c>
    </row>
    <row r="15" ht="13.5" customHeight="1" s="9">
      <c r="A15" s="6" t="inlineStr">
        <is>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is>
      </c>
      <c r="B15" s="2" t="inlineStr">
        <is>
          <t>知识笔记</t>
        </is>
      </c>
      <c r="C15" t="inlineStr">
        <is>
          <t># GitHub资源站实用项目分享与访问加速教学
## 知识概述
本次会议是工作室成员围绕GitHub资源站展开的分享与教学，由老李主讲。发言者1开场将GitHub定位为巨大的宝藏资源库，涵盖名校公开课、大厂面试题、开源大模型、AI学习资料等正经内容，以及表情包合集、养生指南等不正经内容。老李系统介绍了GitHub上的实用热门项目、访问加速方法、页面汉化与搜索技巧，并演示了项目主页的阅读方法。会议以轻松幽默的风格进行，穿插工作性价比评估、表情包博物馆、健康指南、证件照制作、健身教练、教材合集、AI视频生成、声音克隆、AI学习资源库等项目的介绍，同时提供网络加速、镜像站、翻译插件、AI搜索等实用解决方案，最后汇总所有资源文档供观众领取。整体推演框架遵循"认识价值—介绍项目—解决访问问题—提升使用效率"的递进逻辑，主旨在于带领观众了解GitHub实用项目并提升使用效率。
## 核心概念
### GitHub资源库定位
- **宝藏资源库**：GitHub包含麻省理工、斯坦福等名校公开课，字节、阿里、腾讯等大厂面试题和面试经验，Google、阿里等大公司最新开源大模型，AI副业赚钱教程，AI学习资料等正经内容。
- **趣味内容**：包含国内缺网火爆的表情包大合集、火到150岁养生指南、国内996最严重的大厂黑名单等不正经内容。
### 实用热门项目
- **工作性价比评估**：输入年薪、工作地区、年假、通勤时长、学历、工作年限、领导同事是否SB等，输出性价比分数和评级。
- **表情包博物馆**：收录国内过去几年全网爆火的表情包大合集，包括甄嬛传、罗翔、特朗普、马保国等。
- **健康活到150岁指南**：分享经科学验证的健康知识，如间歇性进食促进胆汁代谢、炎症自愈，吃天然发酵类食品改善肠道菌群生态。
- **一键做证件照**：上传大头照，一键抠图换背景，生成不同标准证件照和打印模板。
- **健身教练**：选择肌肉群，提供自重、哑铃、弹力带、长凳等健身参考动画。
- **教材合集**：收集国内所有小学、初中、高中及部分大学的PDF教材，全部免费。
- **全自动视频生成**：Morning Printer Turbo项目。
- **声音克隆模型ChatBox TTS**：零样本语言克隆，情感控制到位，克隆声音像真人。
- **AI学习资源库**：涵盖大语言模型、RAG、AI Agents、MSI等最新AI技术，整理成500多页PDF文档，含大量示意图。
- **Awesome AI Apps**：收录大模型最新agent应用，如医学影像数据分析、AI投资、竞争对手情报分析等。
### GitHub访问加速
- **Watt Toolkit加速软件**：进入网站选择适合电脑的版本下载安装，打开后找到网络加速勾选GitHub加速。
- **GitHub镜像站**：如ghproxy，浏览器点开直接访问GitHub，默认镜像项目地址，可搜索其他项目。
- **魔法（科学上网）**：需注册GitHub账号，可用国内QQ邮箱注册。老李个人最推荐此方法，认为Watt Toolkit更流畅，镜像站速度和稳定性较差。
### 页面汉化与搜索
- **浏览器翻译插件**：谷歌浏览器推荐Google Translate或沉浸式翻译，安装后可将网页翻译成中文；动手能力强的可安装汉化插件，也是GitHub项目。
- **AI搜索替代原生搜索**：GitHub原生搜索按关键词精准匹配，如搜screen record和screen recording结果不同，导致搜索不全面；推荐在ChatGPT中用中文提问，如"在github上帮我找好用的录屏软件"，可获取热门工具并总结成表格。
### 项目主页阅读方法
- **主页构成**：GitHub项目本质上是一个文件夹，项目名字下面是子文件夹或文件；watch是关注项目，fork是复制项目到自己的账号，star是收藏和点赞；about是项目简介，release是软件安装包，可下载最新版本；readme文件是项目说明书，默认在项目最下面展开显示。
- **项目活跃度判断**：每个文件有最近的commit日期，即最近更新时间，若更新日期在几年前，项目大概率是僵尸项目。
- **热门项目追踪**：通过explore的trending可查看全站当天、本周、本月最热门的项目；推荐使用ChatGPT找GitHub daily，及时分享最新最热门项目。
## 核心结论
### 关键判断与结论
- **访问方案推荐**：老李个人最推荐使用魔法（科学上网）访问GitHub，认为Watt Toolkit更流畅，镜像站速度和稳定性较差。
- **搜索方式升级**：推荐使用AI搜索（如ChatGPT）替代GitHub原生搜索，以获得更全面准确的结果。
- **资源汇总交付**：所有提到的开源项目及教程，包括视频中未提到的优质项目，均整理在文档中，供观众领取。</t>
        </is>
      </c>
      <c r="D15" s="10" t="n">
        <v>51.9</v>
      </c>
      <c r="E15" t="inlineStr">
        <is>
          <t>4014/2071</t>
        </is>
      </c>
    </row>
    <row r="16" ht="13.5" customHeight="1" s="9">
      <c r="A16" s="6" t="inlineStr">
        <is>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is>
      </c>
      <c r="B16" s="2" t="inlineStr">
        <is>
          <t>采访记录</t>
        </is>
      </c>
      <c r="C16" t="inlineStr">
        <is>
          <t># 《锵锵三人行》畅谈日本文化极端精神与明朝历史
## 访谈概述
本期《锵锵三人行》邀请《明朝那些事儿》作者当年明月与马先生，围绕日本历史剧《大奥》展开对日本文化特征的探讨，并延伸至明朝历史研究、明末社会风貌及明朝皇帝趣闻等话题。嘉宾们从《大奥》的制作严谨性切入，分析日本文化中的极端精神、忠诚文化与终身雇佣制，并与中国的中庸精神进行对比，进而讨论中日文化差异的根源。随后，当年明月分享其研究明史的动机，表达对朱元璋的推崇，并阐述对历史经验教训局限性的看法。最后，嘉宾们谈及明朝正德、天启等皇帝的趣闻，以及明式家具在国际上的审美地位。关于《大奥》，嘉宾们一致认为该剧是《大长今》之后最有影响的外国电视剧。当年明月指出，日本历史剧体现了一种严谨精神，例如群众演员不会笑，这与《三国演义》等中国历史剧形成对比。马先生补充说，《大奥》的制作精良，从将军出场时众人45度鞠躬的场面即可看出其华丽与严谨。
该剧三部曲的时间跨度大致对应中国晚明到清初，以及明治维新之前的一段时期。在讨论日本文化特征时，当年明月提出日本文化的核心是极端精神，即"所有的事情要做到尽头"。他以日本战后用30年时间成为世界第二经济强国（绝对量）为例，说明这种精神的作用。马先生则强调日本是忠诚文化的典型，忠诚最终要落到好处，并以《大奥》中阿福40年无私服务为例。窦文涛提出极端批评观点，认为日本人的忠诚可被称为"家奴"。当年明月还反驳了马先生关于日本人藐视生命的说法，认为日本民族是"重视死亡"，而非藐视生命，并以经济危机时身家万贯者剖腹自杀为例。关于明朝历史，当年明月解释其研究明史的动机是明史资料最多，但一个事件可能有7个不同说法，如同"罗生门"。他推崇朱元璋，认为其是历史上唯一从最底层乞丐做到皇帝的人，并指出明朝的规章制度基本由朱元璋定下，没有太大改动。
在讨论明末社会时，当年明月认为明末江南地区市民生活轻松富足，工商业兴起，出现了三言二拍等娱乐产品，工艺也变得精细，日本曾派工匠学习。他还提出历史是"照片"而非"录像"，不能简单套用经验教训，并引用名言"我们从历史中得到的唯一教训就是我们从来没有从历史中得到过教训"。在明朝皇帝趣闻方面，当年明月认为正德皇帝（明武宗）被后人评价荒淫，但可能是被嘉靖时期编写的实录写坏，因为嘉靖是正德的堂兄弟，接位后不能将其写得太好。他还提到天启皇帝爱做木匠，做完家具让大臣去卖，并打听卖得如何。马先生补充说，明式家具在国际上地位高，反映了当时社会的审美时尚，天启皇帝对木匠活的投入也侧面印证了这一点。
## 访谈详细记录
### 开场与《大奥》观感
- **《大奥》的整体评价**：嘉宾们一致认为《大奥》是《大长今》之后最有影响的外国电视剧，制作精良，体现日本人的严谨精神。
  - 当年明月指出，日本历史剧的严谨体现在细节上，例如群众演员不会笑，这与《三国演义》等中国历史剧形成对比。
  - 马先生补充，从将军出场时众人45度鞠躬的场面即可看出该剧的华丽与严谨。
- **《大奥》的时间跨度**：该剧为三部曲，前两部对应中国晚明到清初，后一部在明治维新之前。
### 日本文化特征：极端精神与忠诚文化
- **极端精神**：当年明月提出日本文化的核心是极端精神，即"所有的事情要做到尽头"。
  - 日本战后用30年时间成为世界第二经济强国，是绝对量而非人均量。
  - 日本是唯一没有资源的发达国家。
  - 日本人的跳槽率最低，终身雇佣制下工作效率依然高。
  - 日本豆腐厂规定当天做当天卖，夜里12点整所有人同时开始工作。
- **忠诚文化**：马先生强调日本是忠诚文化的典型，忠诚最终一定要落到好处，所以这个民族才团结。
  - 以《大奥》中阿福40年无私服务为例，说明忠诚文化靠具体事而非说教。
  - 窦文涛提出极端批评观点，认为日本人的那种忠诚叫家奴。
- **生死观**：当年明月反驳马先生关于日本人藐视生命的说法，认为日本民族不是藐视生命，而是重视死亡。
  - 经济危机时身家万贯的人剖腹自杀。
  - 当年明月认为日本人有寻死的潜在欲望，对死亡不惧怕甚至向往。
  - 当年明月明确表示不愿意成为日本人，因为其文化中的盲从和寻死欲望。
### 明朝历史研究动机与朱元璋评价
- **研究明史的动机**：当年明月研究明史是因为明史资料最多，但一个事件可能有7个不同说法，如同"罗生门"。
- **对朱元璋的推崇**：朱元璋是历史上唯一从最底层乞丐做到皇帝的人，体现人的因素在历史中的决定性作用。
  - 明朝的规章制度基本由朱元璋定下，没有太大改动。
### 明末社会与历史经验教训
- **明末社会风貌**：明末江南地区市民生活轻松富足，工商业兴起，出现三言二拍等娱乐产品。
  - 明末工艺变得精细，日本派工匠学习。
  - 文征明、唐寅、董其昌等艺术家活跃于明中后期。
  - 1644年明朝首都北京闹瘟疫（疙瘩瘟，可能是天花），导致李自成军攻入时无人抵抗。
- **历史经验教训的局限性**：当年明月提出历史是"照片"而非"录像"，不能简单套用经验教训。
  - 引用名言"我们从历史中得到的唯一教训就是我们从来没有从历史中得到过教训"。
### 明朝皇帝趣闻与明式家具
- **正德皇帝**：被后人评价荒淫，但当年明月认为其被嘉靖时期编写的实录写坏，因为嘉靖是正德的堂兄弟，接位后不能将其写得太好。
- **天启皇帝**：爱做木匠，做完家具让大臣去卖，还打听卖得如何。
- **明式家具**：马先生补充说，明式家具在国际上地位高，反映了当时社会的审美时尚，天启皇帝对木匠活的投入也侧面印证了这一点。
## 金句总结
&gt; "它所有的事情要做到尽头。"
&gt; —— **当年明月**（回应《大奥》制作严谨性，阐述日本文化的极端精神）
&gt; "他强调忠诚最终一定要落到一个好处，所以这个民族才团结。"
&gt; —— **马先生**（以阿福40年无私服务为例，说明日本忠诚文化的特点）
&gt; "日本人的那种忠诚叫家奴就是奴。"
&gt; —— **窦文涛**（对日本忠诚文化提出极端批评观点）
&gt; "日本民族它不是藐视生命，它是重视死亡，它是翻着的。"
&gt; —— **当年明月**（反驳马先生关于日本人藐视生命的说法，阐述日本人的生死观）</t>
        </is>
      </c>
      <c r="D16" s="10" t="n">
        <v>66.3</v>
      </c>
      <c r="E16" t="inlineStr">
        <is>
          <t>14719/2601</t>
        </is>
      </c>
    </row>
    <row r="17" ht="13.5" customHeight="1" s="9">
      <c r="A17" s="6" t="inlineStr">
        <is>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is>
      </c>
      <c r="B17" s="2" t="inlineStr">
        <is>
          <t>就医咨询</t>
        </is>
      </c>
      <c r="C17" t="inlineStr">
        <is>
          <t># 上腹反复疼痛4年伴黑便患者的病史采集与诊疗沟通
## 就诊概况
本次为消化专科医生严医生对48岁男性患者张学恒的病史采集与初步诊疗沟通。患者主诉上腹反复疼痛4年，每年春季多发，近3个月持续加重，伴两次黑便及近期呕吐。疼痛位于心窝处，呈烧灼感，进食冷硬食物或工作紧张时诱发，白天为主，夜间无痛醒，可忍受。近4年出现两次黑便：一次在一年前，持续约一个月，住院10天；一次在三个月前，住院两三天后转黄。近两个月呕吐数次，吐出酸味黄水样物，为当日早午餐食物，夜间腹胀时呕吐后缓解。近期服用达喜、奥美拉唑、阿莫西林及医务室胃炎合剂，效果反复。医生系统采集了现病史、既往史、个人生活史及家族史，初步判断需进一步检查以明确病因，安排大便检查及胃镜检查，并针对患者对手术及家族胃癌的担忧进行解释安抚。
## 病史信息
- **既往病史**：16岁时患甲肝，在成都三医院住院一个月，出院时肝功能正常，后续体检肝功均正常；无手术史。
- **过敏史**：小时候因扁桃体炎在成都市儿童医院就诊，服用磺胺药后左手出现红疹，持续半个月，确诊磺胺药过敏。
- **用药史**：近期服用达喜（初始一天两次每次一颗有效，后增至每天四五次效果不佳）、奥美拉唑（武汉药厂国产）、阿莫西林及医务室胃炎合剂；近两年单位统一接种上海产乙肝疫苗三针，无不良反应。
- **生活史**：出生于成都，一直在成都生活，在成都轻工研究所从事科研工作，工作紧张，经常加班熬夜；吸烟史以前一天一包，现限制在10支以内，计划逐步戒烟；偶尔应酬少量饮酒，平时不喝；每天泡两次茶；26岁结婚，爱人及孩子身体健康，家庭居住条件良好（两房一厅，独立卫生间）。
- **家族史**：父亲76岁，有低血压（90/60mmHg）；母亲75岁，诊断冠心病，药物控制良好；弟弟身体健康；婶婶（叔叔的爱人）有胃癌病史。
- **系统回顾**：偶有头痛头昏（与休息有关），双眼近视400度，偶发口腔溃疡，无咳嗽咳痰、无心慌心累，偶有急性腹泻（饮食不洁后），无关节肌肉疼痛。
## 诊断结果
- **初步判断**：患者上腹反复疼痛4年伴两次黑便及近期呕吐，需进一步检查以明确病因，重点排查消化道出血及胃部病变。
- **检查安排**：安排大便检查（因有黑便史）和胃镜检查，胃镜预约在后天进行（因患者爱人可请假陪同），届时张大夫查房。
- **医生分析**：医生将总结病史后向上一级张医生（指导教授）汇报，再与患者商量处理意见；需等检查资料全面后再判断是否手术，药物控制可能避免手术。
## 治疗方案
- **检查安排**：安排大便检查以排查消化道出血；胃镜检查预约在后天进行，届时张大夫查房。
- **生活方式**：建议逐步戒烟（现限制在10支以内），减少工作紧张与熬夜，注意饮食避免冷硬食物诱发疼痛。
- **用药指导**：近期服用达喜、奥美拉唑、阿莫西林及医务室胃炎合剂，效果反复，待检查结果明确后由医生调整用药方案。
| 药品名称 | 剂量 | 频次 | 用法 | 注意事项 |
| --- | --- | --- | --- | --- |
| 达喜 | 每次一颗 | 初始一天两次，后增至每天四五次 | 口服 | 效果不佳，待调整 |
| 奥美拉唑 | 未提及 | 未提及 | 口服 | 武汉药厂国产 |
| 阿莫西林 | 未提及 | 未提及 | 口服 | 未提及 |
| 胃炎合剂 | 未提及 | 未提及 | 口服 | 医务室开具 |
## 预警信号
- **复诊随访**：胃镜检查预约在后天进行，届时张大夫查房；医生将总结病史后向上一级张医生汇报，再与患者商量下一步处理意见。
- **需密切观察**：黑便情况（近4年出现两次，最近一次在三个月前）、呕吐症状（近两个月数次，吐出酸味黄水样物）、上腹疼痛变化（近3个月持续加重）。
- **需及时就医**：若再次出现黑便、呕吐加重或疼痛加剧等异常表现，应及时就医处置。</t>
        </is>
      </c>
      <c r="D17" s="10" t="n">
        <v>49.2</v>
      </c>
      <c r="E17" t="inlineStr">
        <is>
          <t>8519/1637</t>
        </is>
      </c>
    </row>
    <row r="18" ht="13.5" customHeight="1" s="9">
      <c r="A18" s="6" t="inlineStr">
        <is>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is>
      </c>
      <c r="B18" s="2" t="inlineStr">
        <is>
          <t>庭审记录</t>
        </is>
      </c>
      <c r="C18" t="inlineStr">
        <is>
          <t># 国开行与东源电力等金融借款合同纠纷二审调解结案
## 庭审概况
本案系上诉人国家开发银行与被上诉人云南东源电力股份有限公司、云南东源曲靖电力有限公司、招银金融租赁有限公司金融借款合同纠纷二审，原审法院为云南省高级人民法院（案号云民初88号）。最高人民法院依法组成合议庭公开开庭审理。庭审围绕三个争议焦点展开：一是国开行对案涉设备是否享有完整抵押权、是否构成善意取得；二是案涉借款罚息、复息的计算方式；三是东源煤电是否应连带给付违约金。各方充分发表辩论意见后，合议庭休庭评议并提出调解方案，各方均无异议，当庭达成调解协议。审判长在闭庭时指出，本案反映动产抵押与融资租赁登记冲突的普遍性问题，根本原因在于我国尚未建立统一的动产登记制度，现有融资租赁登记系统与动产抵押登记系统缺乏有效衔接，合议庭将依据最高人民法院关于加强司法建议工作的意见，向有关部门提出司法建议。
## 诉辩意见
| 当事方 | 诉讼请求 | 事实与理由 |
| --- | --- | --- |
| 原告（上诉人）国家开发银行 | 主张对案涉设备享有完整抵押权，构成善意取得；主张利息、罚息、复利按合同约定计算；主张东源煤电连带给付违约金 | 审查义务仅限于抵押人曲靖电力公司，已按央行规定查询融资租赁登记系统未发现登记，设备为通用设备无唯一标识，已尽合理审慎义务；借款合同第六条第四款明确约定罚息按罚息利率计收复利；依据借款合同第24条第3项，东源煤电未配合办理账户管理及柜台签约手续构成违约，应支付千分之一违约金 |
| 被告（被上诉人）云南东源电力股份有限公司、云南东源曲靖电力有限公司 | 主张国开行未尽注意义务，不构成善意取得；主张罚息不应作为复利计算基数；主张违约金不符合合同约定 | 2015年12月2日邮件已用红色标注抵押设备与招银租赁设备名称完全一致，国开行作为专业金融机构应尽核查义务；依据《人民币利率管理规定》第21条及最高法2015、2016年判例，罚息不能作为复利计算基数，复利再计复利无合同依据；国开行未举证证明违约事实，且未按合同约定先行限期纠正 |
| 被告（被上诉人）招银金融租赁有限公司 | 主张国开行不构成善意取得，招银租赁对涉案六项设备享有所有权 | 招银租赁于2012年即取得租赁设备所有权，国开行抵押权于2015年设立，晚于其所有权；国开行未在抵押时点查询融资租赁登记系统，违反央行行业强制性规范，不构成善意；东源煤电出资行为系无权处分 |
## 举证质证
- **抵押设备告知邮件**：东源方出示2015年12月2日发送的邮件，载明抵押设备情况，其中招银租赁抵押设备部分用红色标注，主张设备名称与国开行即将办理抵押的设备完全一致，国开行未尽注意义务；国开行主张其审查义务仅限于抵押人曲靖电力公司，不能任意扩大到东源煤电公司。
- **融资租赁登记查询证书**：国开行出示2018年查询证书，主张再次核查曲靖电力公司名下融资租赁登记信息仍无任何登记；招银租赁质证认为该查询不符合要求，未在抵押时点（2015年12月20日签订抵押合同）查询，不构成善意。
- **融资租赁登记系统登记情况**：招银租赁主张其于2012年即取得租赁设备所有权，暗设五套设备因无唯一识别码未在登记系统中登记；国开行主张动产抵押登记系法定登记具有排他性，融资租赁登记属行业性质，不产生物权后果。
- **资产价值评估**：国开行主张曲靖电力公司拥有在建工程价值5.7亿元、机械设备价值5.1亿元，评估报告已确认资产存在。
- **偿还贷款本金函件**：国开行出示2018年6月13日向东源煤电、东源煤业发送的函件，主张宣布贷款提前到期；东源方指出本案本金近8.37亿元，当天发函当天到期不合理，应给予合理期限。
- **利息计算明细**：国开行主张利息（2017.12.21-2018.6.12）合计2179.572708万元，罚息（2018.6.13-2019.2.19）4105.057957万元，复利（2018.3.21-2019.2.19）191.8206万元；东源方援引《人民币利率管理规定》第21条及最高法判例，主张罚息不能作为复利计算基数。
## 庭审结果
- **调解协议**：各方当事人对调解方案均无异议，当庭达成调解协议并签字确认。
- **债权数额**：确定国开行对东源公司债权扣除破产清偿本金后，利息、罚息、复利合计6474.4513万元。
- **设备权属**：确定国开行对93项设备享有抵押权，招银租赁对涉案六项设备享有所有权，对应债权数额1377.4137万元。
- **设备处置**：案涉全部发电设备整体盘活处置，变现款双方各50%，实现费用各担50%。
- **一审判决确认**：各方对一审判决第二项、第四项无争议，按判项内容在调解书中确认。
- **诉讼费负担**：一审诉讼费中对于国开行诉请部分按一审判决执行，对于招银租赁诉请部分由二审法院按规定确定；二审诉讼费由本院依法确定。
- **司法建议**：审判长指出本案反映动产抵押与融资租赁登记冲突的普遍性问题，合议庭将依据最高人民法院关于加强司法建议工作的意见，向有关部门提出司法建议。</t>
        </is>
      </c>
      <c r="D18" s="10" t="n">
        <v>72.40000000000001</v>
      </c>
      <c r="E18" t="inlineStr">
        <is>
          <t>30731/2141</t>
        </is>
      </c>
    </row>
    <row r="19" ht="13.5" customHeight="1" s="9">
      <c r="A19" s="6" t="inlineStr">
        <is>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is>
      </c>
      <c r="B19" s="2" t="inlineStr">
        <is>
          <t>面试报告</t>
        </is>
      </c>
      <c r="C19" t="inlineStr">
        <is>
          <t># 公务员结构化面试：四题综合能力考察纪要
## 候选人概况
本次面试为公务员招录结构化面试，总时长20分钟，共4道题，考察考生的综合分析、组织协调、应急应变与公共服务能力。面试官开场说明规则，要求逐题作答、语言简洁，并禁止在题纸上记录。考生确认准备就绪后开始答题，全程作答完整，未出现超时或明显失误，面试官未作当场点评，最后考生表示无补充，面试结束。第一题以骏马、风筝、陀螺与绳子的比喻考察人生哲理及对公务员工作的启示，考生将绳子分别解读为鞭策、平衡、动力，对应自我反省、权利与责任平衡、工作动力三层启示。第二题设定考生为市政府办公室工作人员小王，负责调研本市AI相关企业，为出台扶持政策提供依据，考生从前期准备、方案制定、具体实施三方面作答。第三题要求考生模拟服务标兵小王，回应记者关于排水管道疏通后再次堵塞的质疑，考生解释原因并承认失职、承诺整改。第四题从公共服务角度分析道路改造与雨污分流工程引发的社会矛盾，考生区分主次矛盾并提出具体处理措施。
## 面试问答纪要
### Q1. 绳子比喻的人生哲理与公务员工作启示
- **面试官**：骏马、风筝、陀螺与绳子之间存在怎样的联系？请展开联想，谈谈对公务员工作的启示。
&gt; **候选人**：绳子对骏马是鞭策，对风筝是平衡，对陀螺是动力。对骏马的鞭策对应自我反省，引用曾子"吾日三省吾身"强调反思自身不足；单位应形成"紧张、活泼、团结、有趣"的风气，同事间比较能力与效率而非票子、车子、房子。对风筝的平衡对应权利与责任的平衡，治国理政中需建立权利清单与责任清单。对陀螺的动力对应工作动力，以撰写材料为例，说明责任感与成就感是支撑公职人员"连轴转"的动力。
### Q2. AI企业调研任务方案设计
- **面试官**：作为市政府办公室工作人员小王，负责调研本市AI相关企业，为出台扶持政策提供依据，请设计调研方案。
&gt; **候选人**：从前期准备、方案制定、具体实施三方面展开。前期利用工作之余补课弥补文科生知识盲区，学习兄弟城市调研经验，查阅国务院及省厅关于人工智能发展的指导意见。方案涵盖客观（企业发展现状）与主观（政府服务需求）两方面，调研分市场状况、服务需求、管理措施三部分。实施中通过阅读企业发展报告、制定调查问卷（请专家修改）、召开企业座谈会收集意见；服务需求聚焦人才引进、政策倾斜、用地审批、人才吸引与培养机制；管理措施关注共享充电宝式信任危机等新问题，强调及时纠偏。
### Q3. 回应记者关于排水管道问题的质疑
- **面试官**：作为服务标兵小王，记者投诉你安排的排水管道疏通后再次堵塞，质疑你名不副实，请现场回应。
&gt; **候选人**：先询问记者姓氏，解释管道系上世纪90年代社区集中整治时修建，老城区改造难度大，夏季用水高峰导致问题集中出现；承认工作失职，承诺立即联系维修师傅处理，并已将管道硬件问题汇报上级部门，争取通过城市综合保障工程完善基础设施；同时请求媒体向公众解释政府难处，并给予改进机会。
### Q4. 道路改造与雨污分流工程引发的社会矛盾处理
- **面试官**：道路改造和雨污分流工程导致噪音、灰尘、交通拥堵等问题，居民通过网络表达不满，请从公共服务角度谈处理思路。
&gt; **候选人**：区分主要矛盾（时间上需求不满足，源于过去城市发展滞后）与次要矛盾（噪音、出行、舆论），主张城市建设应坚持推进。具体措施包括督促施工方加快进度、设置防噪墙、洒水降尘、建议出行便道、通过交通广播推荐路线、鼓励公交出行并增加班次，最后以公告形式在网络公开政府举措，争取市民理解支持。
## 能力评估
| 评估维度 | 推荐评级 | 评估依据(具体事例) |
| --- | --- | --- |
| 综合分析能力 | 良 | 第一题能将绳子比喻拆解为鞭策、平衡、动力三层含义，分别对应自我反省、权利与责任平衡、工作动力，并引用曾子名言、结合单位风气与撰写材料实例展开论述 |
| 组织协调能力 | 良 | 第二题从前期准备、方案制定、具体实施三方面系统设计AI企业调研方案，涵盖市场状况、服务需求、管理措施三部分，方法具体可行 |
| 应急应变能力 | 良 | 第三题面对记者质疑能先解释客观原因（管道老化、夏季用水高峰），承认失职并承诺立即维修、汇报上级，同时请求媒体理解；第四题能区分主次矛盾并提出针对性措施 |
| 公共服务意识 | 良 | 第四题主张城市建设坚持推进，措施兼顾工程进度、噪音灰尘治理、出行优化与信息公开，体现对市民诉求的回应与对公共利益的平衡 |</t>
        </is>
      </c>
      <c r="D19" s="10" t="n">
        <v>53.8</v>
      </c>
      <c r="E19" t="inlineStr">
        <is>
          <t>5808/1889</t>
        </is>
      </c>
    </row>
    <row r="20" ht="13.5" customHeight="1" s="9">
      <c r="A20" s="6" t="inlineStr">
        <is>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is>
      </c>
      <c r="B20" s="2" t="inlineStr">
        <is>
          <t>参观游览</t>
        </is>
      </c>
      <c r="C20" t="inlineStr">
        <is>
          <t># 故宫保姆级游览攻略：路线、看点与盖章点全解析
## 参观概况
本次参访为故宫博物院游览攻略讲解，主讲人沿中轴线及东西两路，系统介绍了故宫核心景点、历史典故、建筑特色与文创盖章信息。行程自午门启程，经太和门广场、太和殿、中和殿、保和殿，进入乾清门后宫区域，依次参观乾清宫、交泰殿、坤宁宫，随后转至西六宫储秀宫、慈宁宫、寿康宫，再经断虹桥、武英殿、文华殿，抵达箭亭、钟表馆与珍宝馆，最后经东筒子夹道、延禧宫、御花园，至神武门结束。讲解纠正了太和殿为上朝场所的常见误解，明确其为举行盛大典礼之地；文武百官站位遵循文东武西原则。午门采用明三暗五结构，中间正门仅供皇帝、大婚皇后及殿试前三名通行。太和门为明朝御门听政之所，门口铜狮子为故宫六对铜狮中最大的一对。讲解全程穿插历史典故与建筑细节，并标注了七个免费盖章位置，最后总结三条游览路线供不同时长游客选择。
## 核心看点
| 景点/展点 | 相关知识 |
| --- | --- |
| 午门 | 采用明三暗五结构，三个门洞进门后变为五个；中间正门仅供皇帝行走，皇后大婚时可进一次，殿试前三名（状元、榜眼、探花）可出一次 |
| 太和门广场 | 有五座金水桥，中间桥供皇帝走，两侧桥供皇亲国戚和文武百官走 |
| 太和门 | 明朝御门听政的地方，门口铜狮子是故宫六对铜狮中最大的一对 |
| 太和殿 | 举行盛大典礼的地方，如皇帝登基、皇后册封；文武百官站位遵循文东武西原则 |
| 中和殿 | 举行盛大典礼时皇帝的休息室 |
| 保和殿 | 从乾隆五十四年开始作为殿试考场；东北角有汉字馆，内有4枚免费印章，可购买紫禁城100并现场盖章 |
| 乾清门 | 后宫入口，东边是九卿直房，西边是军机处；门口狮子耳朵耷拉、眉毛遮眼，警示后宫人员不该看的不看、不该听的不听 |
| 乾清宫 | 皇帝睡觉的地方，内有27张龙床以防刺客；正大光明牌匾后藏有立储诏书，皇帝写两份，驾崩后对比验证 |
| 交泰殿 | 内放有25块传国玉玺 |
| 坤宁宫 | 皇后住所，明朝所有皇后都住这里；东北角文创店有5枚免费印章 |
| 储秀宫 | 慈禧住了20多年的地方，现为慈禧五十大寿时期的原状陈列；边上文创店有3枚免费印章 |
| 慈宁宫 | 康熙为孝庄皇太后修建的养老院 |
| 寿康宫 | 甄嬛居住的地方 |
| 断虹桥 | 上有形态各异的石狮子，最有名的是武当狮 |
| 武英殿 | 后来改为陶瓷馆，目前关闭状态 |
| 文华殿 | 当时未开放，据说有展览 |
| 箭亭 | 清朝皇帝及其子孙练习骑马射箭的地方，旁边商店可购买文创雪糕 |
| 钟表馆 | 展示了各种造型的钟表 |
| 珍宝馆 | 门口有我国现存三座古代九龙壁之一，左边数第三条白龙下有一块木头，因烧制时弄坏，工匠用木头刷白漆以假乱真；实为宁寿全宫，乾隆给自己修建的养老院，但退休后未放权仍每天上朝；皇极殿据说是1:1复刻乾清宫；乐寿堂是故宫唯一能进去参观的皇家寝室，有二龙仙楼设计；珍妃井是慈禧把珍妃丢进去的地方，现井口石非原物；出口右手边商店有3枚免费印章 |
| 东筒子夹道 | 网红拍照地 |
| 延禧宫 | 网红打卡地 |
| 景仁宫 | 甄嬛被封熹妃时住的，珍妃也住过 |
| 御花园 | 内有钦安殿，供奉真武大帝，紫禁城靠山景山从天上酷似真武大帝造型 |
| 神武门 | 故宫北门，出门左手边有两个盖章点：角楼咖啡有2枚免费印章，故宫文创有2枚免费印章 |
## 互动体验
- **文创盖章**：讲解标注了七个免费盖章位置，包括汉字馆4枚、坤宁宫文创店5枚、储秀宫文创店3枚、冰窖书吧3枚、珍宝馆出口商店3枚、角楼咖啡2枚、故宫文创2枚；故宫内多处可购买紫禁城100，但每家店印章不同，且不能跨店盖章
- **文创雪糕**：箭亭旁边商店可购买文创雪糕，为游览途中补充体力的选择
- **拍照打卡**：东筒子夹道为网红拍照地，延禧宫为网红打卡地，适合游客拍照留念
## 心得收获
- **游览路线规划**：第一条路线走完所有景点，适合全天，约3万步；第二条半天路线，涵盖坤宁宫、景仁宫、延禧宫、钟表馆、珍宝馆、御花园；第三条最省力，约2小时，涵盖坤宁宫、储秀宫、御花园
- **错峰建议**：建议游客早来排队，一进门就沿中轴线往后走，以错开旅游团人群
- **重点推荐**：珍宝馆为强烈建议参观的景点，涵盖九龙壁、皇极殿、乐寿堂、珍妃井等核心看点
- **体力管理**：建议游客在游览过程中适当休息和补充水分</t>
        </is>
      </c>
      <c r="D20" s="10" t="n">
        <v>58.2</v>
      </c>
      <c r="E20" t="inlineStr">
        <is>
          <t>4497/1870</t>
        </is>
      </c>
    </row>
    <row r="21" ht="13.5" customHeight="1" s="9">
      <c r="A21" s="6" t="inlineStr">
        <is>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is>
      </c>
      <c r="B21" s="2" t="inlineStr">
        <is>
          <t>调研访谈</t>
        </is>
      </c>
      <c r="C21" t="inlineStr">
        <is>
          <t># 农村与城市留守老人养老现状调研与对策讨论
## 访谈概况
本次调研围绕农村与城市留守老人养老问题展开，受访者涵盖农村老人、村政府干部、民政局干部及城市社区社工。调研核心目的在于摸清留守老人基数、生活困境及现有养老政策与社区服务的落地情况。调研覆盖农村五保户供养、低保与养老金发放、党员志愿帮扶，以及城市社区志愿者一对一制度、养老服务中心运营、社工行业生存状况等场景。受访者整体评价基调审慎：农村方面，地方财政困难导致养老设施运营经费无后续支持，上门服务覆盖有限；城市方面，社工工资低、项目资金不稳定，服务可持续性堪忧。各方均认可多方协作是解决养老问题的可行方向。
## 核心反馈
### 留守老人现状与问题引入
- **独居与无人照料**：2021年社区居家养老报告显示，65.5%的老人子女长期不在身边而无奈独居，仅26.8%与子女同住，留守老人基数庞大，普遍存在无人照料、就医困难、精神孤独等问题。
- **问题严重性案例**：黑龙江绥滨独居老人因寂寞报警；上海67岁独居老人去世多日才被发现，凸显独居老人缺乏照护与关注的现实风险。
### 农村养老政策与现状
- **留守老人占比高**：2021年公安数据显示，73万多老人中约17.8%为留守老人，且随60年代出生人口进入退休年龄，老龄化程度将加剧。
- **经济困难与设施不足**：农村养老面临经济困难、子女不在身边、娱乐方式少等主要问题；当地曾探索建设养老公共设施，但地方财政困难，运营经费后续无支持。
- **补贴与养老金标准**：五保户分散供养每月发475元生活费，另有护理补贴；低保按家庭状况分160、270、380元三档；60岁以上农村老年人每月养老金118元，计划提高。
- **党员志愿帮扶有限**：每月召开党员组织会，会后开展清洁、走访孤寡老人等活动，但上门服务覆盖有限。
### 城市社区养老实践与社工困境
- **志愿者激励与活动**：社区建立志愿者一对一帮扶制度，通过定期表彰和积分兑换（如雷锋超市）激励长期坚持；开展“小手拉大手”活动，从儿童青少年入手拉动家长参与；去年中秋节开展做月饼活动，还做过百家宴。
- **养老服务中心服务**：每个社区成立养老服务中心，提供理疗、按摩、老年大学、心理咨询等服务。
- **社工行业困境**：每个街道和乡镇仅派两名社工驻点，工资低影响就业率，很多社工做不久就转行；项目资金不稳定，服务可能一年后结束。
## 核心洞察
- **经济与照护双重压力**：农村留守老人既面临经济困难，又因子女不在身边缺乏日常照护，政策补贴标准偏低且设施运营经费无保障，形成系统性困境。
- **精神孤独普遍存在**：独居老人因寂寞报警、去世多日才被发现等案例，反映留守老人精神关怀缺失，现有服务多集中于物质帮扶，精神慰藉覆盖不足。
- **志愿者依赖个人热情**：城市社区靠表彰与积分兑换维持志愿者积极性，但社工工资低、人才流失快，服务可持续性依赖外部激励与资金稳定，缺乏长效机制。
- **代际参与撬动家庭**：“小手拉大手”活动从儿童青少年入手拉动家长参与，说明以代际互动为切入点可提升家庭与社区参与度。
## 改进建议
- **多方协作长效机制**：解决养老问题需要政府、子女、社区和专业养老服务机构的共同努力，形成覆盖经济、医疗、精神关怀等多方面的长效机制。
- **以活动传承敬老传统**：以送春联活动为例，老书法家写福字、孩子们传递到留守老人家中，通过代际互动传承尊老爱幼传统，增强社区凝聚力。</t>
        </is>
      </c>
      <c r="D21" s="10" t="n">
        <v>49</v>
      </c>
      <c r="E21" t="inlineStr">
        <is>
          <t>5309/1470</t>
        </is>
      </c>
    </row>
    <row r="22" ht="13.5" customHeight="1" s="9">
      <c r="A22" s="6" t="inlineStr">
        <is>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is>
      </c>
      <c r="B22" s="2" t="inlineStr">
        <is>
          <t>家校沟通</t>
        </is>
      </c>
      <c r="C22" t="inlineStr">
        <is>
          <t># 372班家长会：家校协同共促学生成长
## 沟通概况
本次家长会由372班班主任林瑞老师主持，面向全班学生家长召开，旨在加强家校沟通、介绍班级情况、提出学生管理要求，促进家校合作，共同助力学生成长。会议围绕班级费用说明、班级基本情况、教师团队介绍、学生存在问题及解决思路、工作计划与家长建议、家长代表分享与家委会成立、保险与电子学生证办理、资助政策等事项展开。班主任林瑞老师为地理学科教师，详细介绍了班级人数构成、学生优缺点、手机管理、防诈骗、安全教育等内容，并邀请家长代表张宇波分享家庭教育经验。整体沟通基调务实坦诚，班主任既肯定了学生时间观念强、班风纪律良好的优点，也直面少数学生周末玩手机、自习效率低等问题，提出具体管理措施与家长配合要求。会议最后就家委会成员、保险购买、电子学生证办理等事项进行了沟通和安排，明确了家校双方后续协同方向。
## 沟通内容
- **班级费用管理**：水费每月2元，每两周或每周收取；已购买5本书，预交11000元，尚未结算；书箱费未购买的同学将退款；相关费用约70-120元，具体待报。
  - 班主任强调不在微信群收取费用，由学生交给生活委员，并提醒家长防范诈骗。
- **班级基本情况**：372班共60人，男生25人，女生35人。
  - 学生优点为时间观念、执行力强，班风班貌纪律良好。
  - 缺点为少数同学周末玩手机、懒散，自习课效率低。
- **教师团队**：多为老教师和优秀教师，师范院校毕业；班主任林瑞教地理学科。
- **书写问题**：个别学生书写需加强，建议家长购买字帖督促练习。
- **自习课效率**：自习课效率低，需加强管理。
- **手机管理**：要求上交手机，家长可不定时打电话检查。
  - 发现少数男生有网瘾，曾充值400元玩游戏。
- **社交账号关注**：提醒家长关注学生QQ、抖音等社交账号，防止早恋。
- **安全教育**：提醒交通安全，未满16周岁不得骑电动车；强调防溺水、防诈骗、防校园欺凌。
## 话题探讨
- **家庭教育误区**：班主任建议家长避免过分关注、放任不管等教育误区，关注学生心理健康。
- **家长代表经验分享**：家长代表张宇波分享家庭教育经验，强调先做人、保持平常心、尊重孩子、多倾听。
  - 强调身体健康与心理健康并重，尊重孩子独立人格。
- **学生管理措施**：班主任提出加强思想教育、严格班规班纪管理、定期与家长沟通等计划。
  - 下次月考安排在11月初，提醒家长关注学生阶段性学习表现。
## 共识与配合
### 学校推进
- **班委培训**：计划加强班委培训，提升纪律意识和团队意识。
- **思想教育**：加强学生思想教育，严格班规班纪管理。
- **定期沟通**：与家长保持定期沟通，及时反馈学生在校表现。
- **家委会成立**：组织成立家委会，至少三人自愿报名。
### 家庭协同
- **费用缴纳**：家长配合不在微信群缴费，由学生将费用交给生活委员，注意防范诈骗。
- **手机管理**：家长配合学校要求，督促学生上交手机，可不定时打电话检查。
- **书写辅导**：建议家长购买字帖，督促学生加强书写练习。
- **社交账号关注**：家长关注学生QQ、抖音等社交账号，防止早恋。
- **安全教育**：提醒交通安全，未满16周岁不得骑电动车；配合学校做好防溺水、防诈骗、防校园欺凌教育。
- **保险购买**：建议家长自行购买保险，费用约310元。
- **电子学生证**：电子学生证套餐78元，移动可办。
- **资助政策**：高中补助打在医保卡上，需注意使用。</t>
        </is>
      </c>
      <c r="D22" s="10" t="n">
        <v>46.8</v>
      </c>
      <c r="E22" t="inlineStr">
        <is>
          <t>17334/1515</t>
        </is>
      </c>
    </row>
    <row r="23" ht="13.5" customHeight="1" s="9">
      <c r="A23" s="6" t="inlineStr">
        <is>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is>
      </c>
      <c r="B23" s="2" t="inlineStr">
        <is>
          <t>团队例会</t>
        </is>
      </c>
      <c r="C23" t="inlineStr">
        <is>
          <t># 10月28日周会：统一社区认识与下周工作部署
## 例会概况
10月28日召开周会，主题为总结工作，会议等级为自愿级。会议资料包括工作报告、这班看法、这班型社区介绍，目标为初步统一成员意见，统一对社区的认识，并美化社区介绍。会议围绕工作方向、任务分配、社区介绍修改、成员待遇等议题展开讨论。工作方向方面，发言人1认为当前方向可能偏了，需要考虑工作量，提出邀请同事加入、完成两个活动、组建教育团队、确定路线、修订纲领章程，并强调社区环境建设，提出将服务定价权交给消费者的理念。任务分配方面，目前有课程开发、组建执法队伍、大运发放等四个任务，其中组建执法队伍为下个月主要任务，需招聘20多位师傅、组建教育班队，第一步是确定路线、修订纲领章程。社区介绍修改方面，将“我们是谁”提到最上面并修改相关参数；成员待遇方面，上班5000元，额外有奖励和提成，休假安排为周五半天加周末两天。会议最后决定继续线下学习，确认会议目标为统一认识，邀请同事加入，安排下道工序。
## 工作进展
### 工作方向与任务分配
- **工作方向评估**：发言人1认为当前方向可能偏了，需重新考虑工作量，提出邀请同事加入、完成两个活动、组建教育团队、确定路线、修订纲领章程。
- **任务清单**：目前有四个任务，包括课程开发、组建执法队伍、大运发放等。
- **组建执法队伍**：被确定为最重要的任务，也是下个月主要任务，需招聘20多位师傅、组建教育班队，第一步是确定路线、修订纲领章程。
- **活动安排**：需完成两个活动，活动不是特别重要但需互相理解，安排在下周工作安排中完成。
- **活动页面费用**：需统计明日边缘分享活动页面总花费，具体金额待确认。
### 社区介绍与成员待遇
- **社区介绍修改**：将“我们是谁”提到最上面，并修改相关参数，具体参数待确认。
- **成员待遇**：上班5000元，额外有奖励和提成，休假安排为周五半天加周末两天。
- **宣传任务**：讨论了公众号、抖音等宣传任务安排。
## 落实安排
- **组建执法队伍**：作为下个月主要任务推进，需招聘20多位师傅、组建教育班队，第一步确定路线、修订纲领章程。
- **完成两个活动**：安排在下周工作安排中完成，需成员互相理解配合。
- **邀请同事加入**：会后邀请同事加入，共同制作解决方案。
- **统计活动页面费用**：统计明日边缘分享活动页面总花费，具体金额待确认后明确。
- **修改社区介绍**：将“我们是谁”提到最上面，修改相关参数。
- **继续线下学习**：会议决定继续线下学习，并安排下道工序。
## 未决风险
- **工作方向可能偏了**：当前工作方向存在偏差风险，需重新评估工作量与路线，跟进人为发言人1。
- **工作量需要考虑**：任务总量与成员承载能力之间的平衡待评估，需结合任务优先级调整方案明确。</t>
        </is>
      </c>
      <c r="D23" s="10" t="n">
        <v>36.1</v>
      </c>
      <c r="E23" t="inlineStr">
        <is>
          <t>4999/1212</t>
        </is>
      </c>
    </row>
    <row r="24" ht="13.5" customHeight="1" s="9">
      <c r="A24" s="6" t="inlineStr">
        <is>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is>
      </c>
      <c r="B24" s="2" t="inlineStr">
        <is>
          <t>就医咨询</t>
        </is>
      </c>
      <c r="C24" t="inlineStr">
        <is>
          <t># 消化内科门诊问诊：上腹烧灼痛伴黑便及呕吐，安排胃镜与潜血检查
## 就诊概况
本次门诊为消化内科严医生对48岁男性患者张春和的系统问诊。患者主诉心窝部烧灼样疼痛反复发作4年，每年春季多发，近3个月加重，与进食冷硬、刺激性食物及工作紧张劳累相关，与油腻食物关系不大。疼痛可忍受，白天发作，无夜间痛醒，工作轻松时可不痛。近4年出现两次黑便（一年前及三个月前），每次持续约一个月，大便干、形状正常，每日最多两次，两次均住院两三天后大便转黄自行好转。近两个月出现呕吐，吐出酸水样物，含当日或隔日食物，呕吐后舒适。近3个月无黑便，大便黄色正常，小便正常，睡眠可，饮食量无明显下降，体重在发病时稍降但正常时恢复。既往曾服用斯达舒，初有效后效果不佳，近期服用奥美拉唑（国产）和阿莫西林及医务室自配胃炎合剂，停药后症状反复。患者因婶婶患胃癌而担忧自身病情，医生初步判断需进一步检查明确诊断。
## 病史信息
- **既往病史**：16岁患甲肝，在三医院住院一个月，出院时肝功能正常，此后体检肝功均正常；偶发口腔溃疡，贴小紫药片可好转；偶有急性腹泻，与进食不洁有关，很快好转。
- **过敏史**：小时候因扁桃体炎在儿童医院就诊，服用磺胺药后左手起红疹伴瘙痒，持续约半个月，诊断为药物过敏，此后禁用磺胺药。
- **用药史**：曾服用斯达舒，初有效后效果不佳，剂量从每日两次每次一颗增至每日四五次仍效果不佳；近期服用奥美拉唑（武汉药厂产，国产）和阿莫西林，以及医务室自配胃炎合剂，停药后症状反复。
- **生活史**：出生于成都，一直在成都生活，工作单位为成都轻工研究所，从事科研工作，工作紧张常加班熬夜；吸烟史以前每天一包，现限制在10支以内，计划逐步戒烟；偶尔应酬时少量饮酒，平时不喝；每天泡两次淡茶；26岁结婚，爱人身体健康，有一个小孩，孩子身体好；三口人住两房一厅，有卫生间。
- **家族史**：父亲76岁，有低血压（90/60 mmHg）；母亲75岁，有冠心病，服药控制良好；有一个弟弟，身体健康；婶婶（叔叔的爱人）患胃癌。
## 诊断结果
- **初步印象**：上腹烧灼样疼痛反复发作4年伴黑便及呕吐，需进一步检查明确病因，排查消化道出血及胃部病变。
- **关键检查安排**：安排大便潜血检查，以排查消化道出血；胃镜预约在后天进行，因患者爱人可请假陪同，届时张医生查房便于讨论结果。
- **医生分析说明**：针对患者对胃癌的担忧，医生解释婶婶为叔叔的爱人，与患者无血缘关系，不必担心遗传问题；手术需待检查资料全面后再判断，药物可能有效控制病情。
## 治疗方案
- **检查安排**：行大便潜血检查，排查消化道出血；胃镜预约在后天进行，因患者爱人可请假陪同，届时张医生查房便于讨论结果。
- **生活方式指导**：建议逐步戒烟，现吸烟量已限制在10支以内；避免进食冷硬、刺激性食物，注意劳逸结合，减少工作紧张劳累。
- **用药指导**：既往服用斯达舒、奥美拉唑（国产）及阿莫西林等药物，停药后症状反复，具体用药方案待检查结果明确后由医生商定。
- **后续安排**：医生将总结病情向上级张医生（指导教授）汇报，再商定下一步处理意见。
| 药品名称 | 剂量 | 频次 | 用法 | 注意事项 |
| --- | --- | --- | --- | --- |
| 斯达舒 | 每日两次每次一颗，后增至每日四五次 | 每日四五次 | 口服 | 初有效后效果不佳，已停用 |
| 奥美拉唑（国产） | 未提及 | 未提及 | 口服 | 停药后症状反复 |
| 阿莫西林 | 未提及 | 未提及 | 口服 | 停药后症状反复 |
## 预警信号
- **复诊随访安排**：胃镜预约在后天进行，届时张医生查房便于讨论结果；医生将总结病情向上级张医生汇报，再商定下一步处理意见。
- **需密切观察的预警表现**：注意观察大便颜色变化，若再次出现黑便需及时告知医生；关注呕吐症状是否加重或频率增加。
- **需及时就医的处置条件**：若出现黑便、呕血、剧烈腹痛等异常表现，应及时就医；服药期间若出现药物过敏反应（如皮疹、瘙痒等），应立即停药并就诊。</t>
        </is>
      </c>
      <c r="D24" s="10" t="n">
        <v>53</v>
      </c>
      <c r="E24" t="inlineStr">
        <is>
          <t>10297/1733</t>
        </is>
      </c>
    </row>
    <row r="25" ht="13.5" customHeight="1" s="9">
      <c r="A25" s="6" t="inlineStr">
        <is>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is>
      </c>
      <c r="B25" s="2" t="inlineStr">
        <is>
          <t>专题讲座</t>
        </is>
      </c>
      <c r="C25" t="inlineStr">
        <is>
          <t># 基金经理肖楠路演：投资理念、研究布局与框架反思
## 讲座概况
本次路演为基金经理肖楠面向机构投资者的专项汇报，系统阐述其投资理念、研究布局与框架反思。肖楠开宗明义指出，投资者关心的"接下来会发生什么"类问题，其答案对投资者用处不大，因为基金经理基于知识做出的判断对投资者而言只是信息，知识与信息之间存在巨大鸿沟。他介绍自己的研究框架，将问题分为重要不重要、可研究及难以研究四类，并强调自己真正关心的是标的基本面是否变化、投资逻辑是否更新、认知是否更深入领先，以及自身投资框架是否值得修正。他列出此表是为了说明，市场上基金经理的理念方法大致处于以巴菲特为代表的"极端务实派"和以索罗斯为代表的"极端务虚派"两个极端之间，不同流派对股票收益率来源的回答不同，因此不会研究某些问题。肖楠明确反对市场上流行的"抱团"与"均值回归"两种观点，认为前者定义不本质、后者局部正确。随后他介绍过去一年研究资源消耗在互联网、财富管理行业、新消费和高端制造四大方向，并重点阐述对投资框架的五点反思：商业模式理解的完备性、终局判断与中期机会的平衡、长期隐性变量的重要性、深度价值可能长期无效、以及企业增长的X factor。最后进入问答环节，就中期投资机会、伟大公司标准、血制品行业、农林牧渔、商增商减、增长曲线、财富管理行业及企业家精神等问题与投资者交流。
## 核心观点
### 知识与信息之间存在巨大鸿沟
- **投资者得到的是信息而非知识**：基金经理基于知识做出的判断，对投资者而言只是"肖楠看好某某"的信息，投资者关心的"接下来会发生什么"类问题，其答案对投资者用处不大。
- **研究框架四分类**：将问题分为重要不重要、可研究及难以研究四类，真正关心的是标的基本面是否变化、投资逻辑是否更新、认知是否更深入领先，以及自身投资框架是否值得修正。
- **两大流派分野**：市场上基金经理的理念方法大致处于以巴菲特为代表的"极端务实派"和以索罗斯为代表的"极端务虚派"两个极端之间。
  - 巴菲特一派认为股票是企业所有权的一部分，价值来源是企业价值即未来现金流，短期波动随机不值得研究，应研究公司生意，买入长期持有。
  - 索罗斯一派认为股票是筹码，价值来源于其他交易者的看法，交易代表信息，应研究交易者基于基本面的行为。
### 反对"抱团"与"均值回归"
- **"抱团"定义不本质**：基金经理之间是竞争关系，主观上不可能合谋；同一基金公司研究员推荐股票获广泛认可后大家买入，不能叫抱团；且抱团是截面数据，忽略了时间维度。
- **"均值回归"局部正确**：无法解释长线牛股，如10年涨10倍、20倍、50倍、100倍的股票；"均值回归这个事情，90%的时间都正确，那10%的错误依然让你代价惨重"。
  - 典型事例：某商学院老师在海螺水泥上做波段，过去10年赚两三倍，但2016或2017年卖出后，两年时间股票涨了5-6倍，再也没能买回来。
  - 数据支撑：收益率是幂律分布而非正态分布，美国股市200年价值增量由4%的公司贡献，若挖掉这4%的公司，美国股市没有涨。
### 过去一年研究布局四大方向
- **互联网**：全球只有中国和美国能把互联网做成巨大产业，中国已迭代三代企业——第一代基于流量（门户网站、搜索引擎）、第二代基于运营管理（阿里、淘宝）、第三代基于算法（字节、拼多多）。
- **财富管理行业**：空间巨大，中国进入小康后人均收入中位数提升5%-10%将带来巨额剩余财富。
- **新消费**：公司从CEO到组织架构、经营理念与传统企业完全不同；看起来差不多的产品公司收入利润体量差距巨大，产品差异在三年、五年、十年维度被放大。
- **高端制造**：中国是全球几乎唯一拥有全产业链的国家，在众多细分领域已占据主导地位。
### 投资框架五点反思
- **商业模式理解的完备性**：世界上没有一劳永逸的坐地收钱生意，如爱马仕也受设计师影响，长期看所有企业都要死去。
- **终局判断与中期机会的平衡**：过去因终局判断悲观错过中期10倍投资机会，如某企业产品跨代领先但后来被追上，但企业做出第二增长曲线，涨了十几倍。
- **长期隐性变量的重要性**：如国运、文化背景等可能解释相当部分收益率来源，如美国股市200年由4%公司贡献增量；未来研究将把特别隐性的长期变量（十年维度）纳入研究。
- **深度价值可能长期无效**：打了问号，去年投的深度价值标的结果很差。
- **企业增长的X factor**：驱动企业增长且不被线性描述的因子，经典投资模型无法定价，但长期起作用。
## 金句总结
&gt; "基金经理之间是竞争的关系。其实是竞争的关系，你你让我跟你报。在一起本身这件事情就其实是不太可能。"
&gt; —— **肖楠**（论证反对"抱团"观点时，指出基金经理主观上不可能合谋）
&gt; "均值回归这个事情，90%的时间都正确，那10%的错误依然让你代价惨重。"
&gt; —— **肖楠**（论证反对"均值回归"观点时，指出其局部正确但错误代价巨大）
## Q&amp;A 环节
**提问者**：中期投资机会如何把握？
**肖楠**：因错过某企业十几倍涨幅而反思，该企业产品领先被追上后做出第二增长曲线，壁垒更深；现在承认终局可能没那么强的情况下依然能做出好投资。
**提问者**：伟大公司的标准是什么？
**肖楠**：财务指标看不出来，举例两家成本最低的公司，A公司研发投入高、有产业报国情怀，堪称伟大；B公司管理精益求精但研发少。
**提问者**：全市场基金的选股逻辑与消费基金有何不同？
**肖楠**：逻辑一样，都是基于不可能三角、企业三阶段、三种商业模式。
**提问者**：如何看待血制品行业？
**肖楠**：壁垒不强，研究不多。
**提问者**：农林牧渔行业为何提升？
**肖楠**：是因为牧原股份，不是看好整个行业。
**提问者**：如何理解商增商减？
**肖楠**：用企业部门增多、效率变差、内部腐败等例子解释商增，建议读党史学习处理商增。
**提问者**：增长曲线的曲率拐点如何判断？
**肖楠**：以顺丰疫情时只有它能送、美的渠道扁平化后疫情时占有率超格力为例说明。
**提问者**：财富管理行业格局如何？
**肖楠**：行业分层，头部公司可能拿走行业增量的绝大部分，如70%、80%。
**提问者**：如何评价企业家精神？
**肖楠**：强调谨慎归因，不要轻易定价，只在两两比较时使用。</t>
        </is>
      </c>
      <c r="D25" s="10" t="n">
        <v>75.59999999999999</v>
      </c>
      <c r="E25" t="inlineStr">
        <is>
          <t>26252/2685</t>
        </is>
      </c>
    </row>
    <row r="26" ht="13.5" customHeight="1" s="9">
      <c r="A26" s="6" t="inlineStr">
        <is>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is>
      </c>
      <c r="B26" s="2" t="inlineStr">
        <is>
          <t>辩论会</t>
        </is>
      </c>
      <c r="C26" t="inlineStr">
        <is>
          <t># 超能力恋爱辩论赛：正方质询获胜
## 辩论概况
本场辩论赛围绕“如果拥有让任何人爱上自己的超能力，是否应该使用”这一脑洞辩题展开。正方RUC棒辩论队主张应该使用，认为爱是玄学、不受意志控制，超能力能成就真爱，且掌握在爱你的人手中比交给命运更可靠；反方则反对，认为爱涉及自由意志，超能力本质是洗脑和占有，会剥夺对方选择权，使爱变质。正方立论以月老红线、丘比特金箭为例，说明超能力在传统文化中的浪漫意义，强调爱是情非得已、坠入爱河，不受自由意志控制，因此超能力并非剥夺意志；反方质询则以强奸类比，指出超能力违背对方意志、强行介入亲密关系的不道德性，并主张超能力使爱来得太容易，导致不珍惜、爱变质。双方在立论、质询、自由辩论等环节围绕爱的定义、自由意志、占有与爱的区别、超能力机制等激烈交锋。最终正方在质询环节获胜，获得4分钟总结时间，并最终赢得比赛。
## 各方立场
### 正方（RUC棒辩论队）
- **爱是玄学，不受意志控制**：正方将爱定义为玄学，认为爱无法用理性解释，以“坠入爱河”而非“跳入爱河”论证爱是情非得已、不受自由意志控制，因此超能力并非剥夺对方意志。
- **超能力能成就真爱**：以月老红线、丘比特金箭为例，说明超能力在传统文化中具有浪漫意义，是客观存在的，能帮助人们获得真爱。
- **掌握在爱你的人手中更可靠**：主张超能力掌握在爱你的人手中，比交给命运（月老）更可靠，能避免遗憾，否则会永远留下遗憾。
- **超能力机制多样，本身无善恶**：提出超能力机制可能多样，如改变自己或对方，而非单纯洗脑；超能力本身无善恶，取决于使用者，如拯救被人类迫害的人。
### 反方
- **超能力剥夺自由意志**：认为超能力本质是洗脑和精神控制，剥夺对方的自由意志，使爱变成单纯的占有而非真爱。
- **违背意志介入不道德**：以强奸类比，强调违背对方意志强行介入亲密关系的不道德性。
- **导致爱变质、不珍惜**：提出超能力使爱来得太容易，导致不珍惜、爱变质。
- **使使用者自私**：指出超能力使使用者成为“世界中心”，导致自私。
- **保留对方选择空间**：强调保留被爱者的选择空间，使其有机会说不。
## 核心争议
### 自由意志与爱的本质
- **反方**：超能力是洗脑，剥夺对方自由意志，使爱变成占有而非真爱。“这个人原来不爱你的，但是你打了响指，他就一定爱上你了。这个和很多有必要的强奸犯讲的道理是一样的。”
- **正方**：爱是情非得已、坠入爱河，不受自由意志控制，因此超能力并非剥夺意志。“因为爱一个人就是自己意志的产物，到目前为止，对方都没有向我们论证，在您方的世界里，我只要意志在爱这个人，到底发生怎样的作用。”
### 超能力的机制与性质
- **反方**：超能力本质是洗脑，违背对方意志，类似强奸，强行介入亲密关系。
- **正方**：超能力机制可能多样，如改变自己或对方，而非单纯洗脑；超能力本身无善恶，取决于使用者，如拯救被人类迫害的人。
### 爱的变质与风险
- **反方**：超能力使爱来得太容易，导致不珍惜、爱变质；使使用者成为“世界中心”，导致自私。
- **正方**：超能力能避免遗憾，否则会永远留下遗憾；掌握在爱你的人手中比交给命运更可靠。
## 结辩裁决
- **正方结辩**：重申爱是玄学，科学（多巴胺）无法解释为何偏偏爱上某人，超能力是成就真爱的手段，并批评反方将超能力等同于洗脑。
- **评委点评**：正方在质询环节获胜，获得4分钟总结时间，并最终赢得比赛。</t>
        </is>
      </c>
      <c r="D26" s="10" t="n">
        <v>47.1</v>
      </c>
      <c r="E26" t="inlineStr">
        <is>
          <t>12403/1485</t>
        </is>
      </c>
    </row>
    <row r="27" ht="13.5" customHeight="1" s="9">
      <c r="A27" s="6" t="inlineStr">
        <is>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is>
      </c>
      <c r="B27" s="2" t="inlineStr">
        <is>
          <t>就医咨询</t>
        </is>
      </c>
      <c r="C27" t="inlineStr">
        <is>
          <t># 结肠癌术后复发转移患者后续治疗方案讨论
## 就诊概况
本次讨论围绕一名结肠癌术后复发转移患者的后续治疗展开。患者于2023年9月因突发腹痛确诊结肠癌，行切除手术并完成8期化疗；复查发现肝转移后赴北京行PET-CT，去年9月接受肝消融及乳腺结节切除，术后因肝功能不佳停用部分化疗药物。今年3月底复查显示肝脏、肺、腹膜再次出现转移，病情呈广泛进展。医生在梳理全程后明确，当前治疗核心应为全身系统治疗，而非局部介入，并建议进行二次基因检测以指导精准用药。关于基因检测，医生指出首次检测可能不全面，建议通过组织、血液、尿液或唾液等途径进行二次检测，以寻找更多可用信息。医生强调基因检测对选择靶向药和免疫治疗至关重要，并提及检测敏感性可能较正常人高3至5倍。家属对患者身体状况表示担忧，不愿进行过多检查，医生则解释精准治疗需以基因检测为基础，二次检测可提供更全面的依据。在治疗方案上，医生明确当前应以全身系统治疗为主，包括化疗、靶向、免疫等组合方案，并建议患者调整状态、提升免疫力。
## 病史信息
- **确诊经过**：患者2023年9月因肚子疼一晚上确诊结肠癌，此前无相关症状，但吃海鲜易上吐下泻；确诊时经肠镜检查明确为结肠癌。
- **手术与化疗史**：确诊后行结肠癌切除手术，并完成8期化疗；切肠时可能存在腹膜转移，切除不干净。
- **复发转移史**：复查发现肝转移后，从老家到北京行PET-CT；去年9月行肝消融和乳腺结节切除。
- **后续治疗史**：消融和乳腺结节切除后行紫荆化疗，但仅第一次检查，后续因肝功能不行停用部分药物；今年3月底复查发现肝脏、肺、腹膜再次出现转移。
## 诊断结果
- **病情判断**：患者结肠癌术后复发转移，目前肝脏、肺、腹膜均出现转移灶，病情呈广泛进展。
- **关键检查**：确诊时经肠镜明确为结肠癌；复查发现肝转移后行PET-CT；今年3月底复查显示肝脏、肺、腹膜再次出现转移。
- **医生分析**：当前主要问题是全身系统治疗，介入治疗不是主要问题；首次基因检测可能不全面，建议进行二次基因检测以获取更全面的基因信息，为选择靶向药和免疫治疗提供依据。
## 治疗方案
- **全身系统治疗**：当前应以全身系统治疗为主，包括化疗、靶向、免疫等组合方案，而非局部介入治疗。
- **二次基因检测**：建议通过组织、血液、尿液或唾液等途径进行二次基因检测，以寻找更多可用信息；检测敏感性可能较正常人高3至5倍。
- **靶向联合免疫**：靶向联合免疫治疗可能产生1+1的协同效应，可考虑在现有化疗基础上加用靶向药（如菲尼）联合免疫治疗。
- **免疫评估**：建议家属让患者进行免疫评估，最终方案由家属决定。
- **生活方式调整**：建议患者调整状态、提升免疫力，可考虑使用四联康等药物。
| 药品名称 | 剂量 | 频次 | 用法 | 注意事项 |
| --- | --- | --- | --- | --- |
| 菲尼 | 未提及 | 未提及 | 未提及 | 靶向药，联合免疫治疗使用，具体剂量与用法遵医嘱 |
| 四联康 | 未提及 | 未提及 | 未提及 | 用于提升免疫力，具体剂量与用法遵医嘱 |
## 预警信号
- **复诊随访**：患者需按医生安排定期复查，监测肝脏、肺、腹膜等部位转移灶变化情况。
- **肝功能监测**：患者既往因肝功能不佳停用部分化疗药物，后续治疗期间需密切监测肝功能指标。</t>
        </is>
      </c>
      <c r="D27" s="10" t="n">
        <v>43.3</v>
      </c>
      <c r="E27" t="inlineStr">
        <is>
          <t>7063/1442</t>
        </is>
      </c>
    </row>
    <row r="28" ht="13.5" customHeight="1" s="9">
      <c r="A28" s="6" t="inlineStr">
        <is>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is>
      </c>
      <c r="B28" s="2" t="inlineStr">
        <is>
          <t>产品发布</t>
        </is>
      </c>
      <c r="C28" t="inlineStr">
        <is>
          <t># 海尔发布迭代H2洗干集成机，定价10998元起
## 产品概况
海尔洗衣机创新发布会正式推出洗干集成新物种——迭代H2洗干集成机。该产品由海尔研发并发布，专为客阳一体空间设计，一体集成机身解决洗烘套装叠放带来的震动等安全隐患，高度降至167厘米，可嵌入60厘米标准橱柜。发布会通过场景演示与用户故事，强调其为中国家庭打造的原创之作，旨在让用户享受整洁有序的新阳台生活方式。针对中国80%用户将洗烘套装叠放于阳台使用所面临的屏幕过高、开门方向相反、水盒太高太沉等痛点，迭代H2以一体集成机身、同向开门、无水盒设计等方案优化操作体验，并依托全新升级的智慧大脑与灵犀洗烘联动，实现洗涤结束前上桶提前15分钟主动预热，缩短烘干时长。定价方面，10kg 3D透视烘干款12998元，10kg净净双擎热泵款10998元。产品创新不仅为洗护衣物，更旨在让用户享受家的整洁有序，体现海尔对中国家庭洗护需求的深度洞察与原创技术积累。
## 市场定位
- **目标受众**：面向中国家庭用户，尤其关注客阳一体空间布局、有阳台晾晒与洗烘需求的用户；空净过滤系统去除线屑毛絮，兼顾养宠家庭与宝宝家庭的健康洗护需求。
- **核心痛点**：中国80%用户将洗烘套装叠放于阳台使用，存在屏幕过高、开门方向相反、水盒太高太沉等操作不便，且叠放存在震动等安全隐患。
- **典型场景**：年轻人喜欢的阳台场景，帮助用户告别晾晒；大件烘干不缠绕，羽绒服和水洗被可一次烘透，满足家庭日常及换季洗护需求。
- **差异化优势**：与欧洲家庭拥有独立洗衣房、洗烘套装并排摆放不同，迭代H2针对中国阳台空间特点，以一体集成机身、同向开门、无水盒设计优化操作体验，并依托灵犀洗烘联动实现数据共享，与洗烘套装形成代际差异，体现为中国家庭打造的原创定位。
## 核心卖点
| 维度 | 核心卖点 | 关键参数 |
| --- | --- | --- |
| 一体集成机身 | 专为客阳一体空间设计，解决洗烘套装叠放带来的震动等安全隐患，同向开门取放流畅，无水盒设计免手动倒水 | 高度167厘米，超薄机身可嵌入60厘米标准橱柜，全平不突出 |
| 智慧互联 | 全新升级智慧大脑，中枢神经式智能网络让上下桶默契配合；灵犀洗烘联动实现数据共享，烘干与洗涤无缝连接 | 洗涤结束前上桶提前15分钟主动预热，缩短烘干时长 |
| 双擎热泵技术 | 原创双擎热泵技术，大件烘干不缠绕 | 行业领先 |
| 3D透视烘干 | 首次引入行业领先黑科技，羽绒服和水洗被可一次烘透 | 行业首创 |
| 精华洗2.0 | 激活洗衣液高效洗净，新鲜净水漂洗减少洗衣液残留 | 39分钟洗净一周衣物 |
| 空净过滤系统 | 去除衣物线屑和毛絮，适合养宠与宝宝家庭 | — |
| 变频电机 | 三台变频电机，洗涤、甩干、烘干全过程噪音低 | 三台变频电机 |
## 发售信息
- **10kg 3D透视烘干款**：定价12998元。
- **10kg净净双擎热泵款**：定价10998元。
- 发布会未披露具体发售节奏、购买渠道及预售/首发权益，相关优惠补贴、老用户政策或生态服务信息未提及。</t>
        </is>
      </c>
      <c r="D28" s="10" t="n">
        <v>42.3</v>
      </c>
      <c r="E28" t="inlineStr">
        <is>
          <t>7311/1323</t>
        </is>
      </c>
    </row>
    <row r="29" ht="13.5" customHeight="1" s="9">
      <c r="A29" s="6" t="inlineStr">
        <is>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is>
      </c>
      <c r="B29" s="2" t="inlineStr">
        <is>
          <t>通用纪要</t>
        </is>
      </c>
      <c r="C29" t="inlineStr">
        <is>
          <t># 通用纪要
## 全文摘要
中共巢湖市银屏镇白母山村芦塘支部委员会换届选举党员大会召开。支部共有党员8名，其中正式党员8名、有选举权党员8名，因病请假1名，实到有选举权党员7名，符合法定人数。镇党委组织委员钱小丽到会指导，提出三点意见：充分认识大会重要意义、正确行使选举权严格把握选举要求、服从大局严格遵守选举纪律。大会依次完成上届支部委员会工作报告、通过选举办法、通过候选人名单、通过监票人计票人名单、候选人竞职演说、选举新一届支部委员会委员及书记等议程。上届支部委员会总结三年来工作成绩，指出存在问题，报告经党员讨论后鼓掌通过。大会通过党员大会选举办法，明确差额选举规则，镇党委批复同意委员候选人预备人选4名。经无记名投票，卢燕娇、辛东升、杜军强当选为新一届支部委员会委员，卢燕娇当选为支部书记，辛东升负责组织宣传工作，杜军强负责纪检工作，选举结果报镇党委批准。
## 要点梳理
### 会议开场与领导讲话
- 会议主持人宣布大会开始，确认到会人数符合法定要求，并邀请镇党委组织委员钱小丽讲话。
- 钱小丽代表镇党委提出三点意见：充分认识大会重要意义、正确行使选举权严格把握选举要求、服从大局严格遵守选举纪律。
### 上届支部委员会工作报告
- 主持人代表上届支部委员会作工作报告，总结三年来工作成绩，指出存在问题，并希望新一届支部以换届为契机加强建设。
  - 三年来新发展党员1名，按规定收缴党费2640元上交上级党组织。
  - 开展了两学一做学习教育常态化、制度化和讲严例专题警示教育活动。
  - 实行支部议事决策制度、民主生活会制度、民主评议党员制度、党员联系服务群众制度，推进党务公开，抓好党风党纪教育。
  - 指出存在问题：党建工作制度不够完善、党员主体意识需提高、党支部对党员教育管理监督不够深入。
- 报告经党员讨论后鼓掌通过。
### 通过选举办法与候选人名单
- 大会通过党员大会选举办法，明确选举规则：
  - 选举中共如堂支部委员会委员3名，候选人4名，差额不少于应选名额20%。
  - 候选人按姓氏笔画为序排列，采用无记名投票方式。
  - 支部委员会委员和书记选举分两步进行，先差额选举委员，再等额选举书记。
  - 有选举权正式党员超过应到会党员4/5方可进行选举；候选人得赞成票超过应到会选举人数半数方可当选。
- 镇党委批复同意委员候选人预备人选4名：卢燕娇、辛东升、杜军强、秦磊；书记候选人预备人选卢燕娇。
- 监票人提议贾淑玲，计票人黄婷丽、刘彩云，均表决通过。
### 候选人竞职演说
- 四位候选人依次进行竞职演说，阐述自身优势和工作计划。
  - 卢燕娇（1993年9月出生，2014年4月入党）：承诺加强支部建设、推动村集体经济发展、抓好民生工程。
  - 杜军强：强调村委会工作经历，能担当桥梁纽带角色。
  - 辛东升：承诺群众有困难随叫随到，严格要求自己，完成上级任务。
  - 秦磊：强调责任心强、思想觉悟高，配合上级工作。
### 选举新一届支部委员会委员
- 大会进行支部委员选举，清点人数、检查票箱、分发选票、填写选票、投票、计票，最终宣布选举结果。
  - 实到会有选举权党员7名，发出选票7张，收回选票7张，选举有效。
  - 计票结果：卢燕娇6票，杜军强6票，辛东升6票，秦磊2票。
  - 卢燕娇、辛东升、杜军强当选为新一届支部委员会委员。
### 选举书记与支委分工
- 新当选的支部委员召开第一次全体会议，选举支部书记并进行委员分工。
  - 支部书记采用等额选举，实到会委员必须超过应到会委员的4/5方可选举。
  - 书记候选人建议名单为卢燕娇，经表决通过；监票人计票人由辛东升担任。
  - 发出选票3张，收回选票3张，卢燕娇得3票当选为支部书记。
  - 分工：辛东升负责组织宣传工作，杜军强负责纪检工作。
## 结论与决定
- **通过上届支部委员会工作报告**：报告总结三年来工作成绩并指出存在问题，经党员讨论后鼓掌通过。
- **通过党员大会选举办法**：明确差额选举委员3名、候选人4名、差额不少于应选名额20%，先差额选举委员再等额选举书记等规则。
- **通过支委候选人名单**：卢燕娇、辛东升、杜军强、秦磊，经镇党委批复同意。
- **通过监票人计票人名单**：监票人贾淑玲，计票人黄婷丽、刘彩云。
- **选举产生新一届支部委员会**：卢燕娇、辛东升、杜军强当选为支部委员会委员。
- **选举产生支部书记**：卢燕娇当选为支部书记。
- **明确支委分工**：辛东升负责组织宣传工作，杜军强负责纪检工作；选举结果报镇党委批准。</t>
        </is>
      </c>
      <c r="D29" s="10" t="n">
        <v>46.3</v>
      </c>
      <c r="E29" t="inlineStr">
        <is>
          <t>8414/1937</t>
        </is>
      </c>
    </row>
    <row r="30" ht="13.5" customHeight="1" s="9">
      <c r="A30" s="6" t="inlineStr">
        <is>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is>
      </c>
      <c r="B30" s="2" t="inlineStr">
        <is>
          <t>政府报告</t>
        </is>
      </c>
      <c r="C30" t="inlineStr">
        <is>
          <t># 2024年国务院政府工作报告：稳中求进推动高质量发展
## 报告概况
本次会议为国务院总理代表国务院向全国人民代表大会作政府工作报告，回顾2023年工作成绩，提出2024年经济社会发展总体要求、主要预期目标和政策取向，并部署2024年政府工作任务。报告强调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防范化解风险，改善社会预期，巩固和增强经济回升向好态势。2023年，面对异常复杂的国际环境和艰巨繁重的改革发展稳定任务，新冠疫情防控实现平稳转段，全年经济社会发展主要目标任务圆满完成。国内生产总值超过126万亿元，增长5.2%，增速居世界主要经济体前列；城镇新增就业1244万人，城镇调查失业率平均为5.2%；居民消费价格上涨0.2%，国际收支基本平衡。
现代化产业体系建设取得重要进展，国产大飞机C919投入商业运营，国产大型游轮成功建造，新能源汽车产销量占全球比重超过60%。粮食产量1.39万亿斤再创历史新高，可再生能源发电装机规模历史性超过火电，全年新增装机超过全球一半。居民人均可支配收入增长6.1%，脱贫地区农村居民收入增长8%，提高一老一小个人所得税专项附加扣除标准，6600多万纳税人受益。常住人口城镇化率提高到66.2%，提请全国人大常委会审议法律议案10件，制定修订行政法规25部。
## 核心政策
- **2024年主要预期目标**：国内生产总值增长5%左右，城镇新增就业1120万人，城镇调查失业率5.5%左右，居民消费价格涨幅3%左右，居民收入增长和经济增长同步，国际收支保持基本平衡，粮食产量1.3万亿斤以上，单位国内生产总值能耗降低2.5%左右，生态环境质量持续改善。
- **宏观政策取向**：坚持稳中求进、以进促稳、先立后破，强化宏观政策逆周期和跨周期调节。
  - **积极的财政政策**：适度加力、提质增效，赤字率拟按3%安排，赤字规模4.06万亿元，一般公共预算支出规模28.5万亿元，拟安排地方政府专项债券3.9万亿元，连续几年发行超长期特别国债，今年先发行10000亿元。
  - **稳健的货币政策**：灵活适度、精准有效，保持流动性合理充裕，促进社会综合融资成本稳中有降，增强资本市场内在稳定性，保持人民币汇率在合理均衡水平上基本稳定。
- **扩大高水平对外开放**：全面取消制造业领域外资准入限制措施，放宽电信、医疗等服务业市场准入，深入实施自贸试验区提升战略，推动高质量共建一带一路走深走实。
- **保障和改善民生**：居民医保人均财政补助标准提高30元；城乡居民基础养老金月最低标准提高20元，继续提高退休人员基本养老金；预计今年高校毕业生超过1170万人，强化促进青年就业政策。
## 重点工作
### 现代化产业体系建设
- **制造业重点产业链高质量发展行动**：推动传统产业高端化、智能化、绿色化转型，促进中小企业专精特新发展。
- **战略性新兴产业**：巩固扩大智能网联、新能源汽车等产业领先优势，制定未来产业发展规划。
- **数字经济创新发展**：开展人工智能+行动，实施制造业数字化转型行动，大力推动数据开发开放和流通使用。
### 科教兴国战略
- **教育强国建设**：制定实施教育强国建设规划纲要，开展基础教育扩优提质行动。
- **科技自立自强**：充分发挥新型举国体制优势，强化基础研究系统布局，推进关键核心技术协同攻关。
- **人才政策**：实施更加积极、更加开放、更加有效的人才政策，加大对青年科技人才支持力度。
### 扩大国内需求
- **培育壮大新型消费**：实施数字消费、绿色消费、健康消费促进政策，鼓励和推动消费品以旧换新，提振智能网联、新能源汽车、电子产品等大众消费。
- **积极扩大有效投资**：重点支持科技创新、新型基础设施、节能减排、降碳等领域，加快实施十四五规划重大工程项目，着力稳定扩大民间投资。
### 深化改革
- **国有企业改革**：深入实施国有企业改革深化提升行动。
- **民营经济发展**：全面落实促进民营经济发展壮大的意见及配套举措。
- **全国统一大市场建设**：加快全国统一大市场建设，谋划新一轮财税体制改革。
### 统筹发展和安全
- **房地产政策优化**：加快构建房地产发展新模式，加大保障性住房建设和供给。
- **地方债务风险化解**：统筹好地方债务风险化解和稳定发展，进一步落实一揽子化债方案。
- **中小金融机构风险处置**：稳妥推进中小金融机构风险处置。
### 三农工作
- **土地承包延期试点**：启动第二轮土地承包到期后再延长30年整省试点。
- **粮食安全与防返贫**：严守耕地红线，确保不发生规模性返贫。
### 生态文明建设
- **三北工程攻坚战**：组织打好三北工程三大标志性战役。
- **碳达峰碳中和**：积极稳妥推进碳达峰碳中和，扎实开展碳达峰十大行动。
### 政府自身建设与外交国防
- **依法行政**：深入推进依法行政，自觉接受人大、政协、社会和舆论监督。
- **党风廉政建设**：纵深推进党风廉政建设和反腐败斗争，坚决纠正形式主义、官僚主义。
- **国防军队建设**：打好实现建军100年奋斗目标攻坚战，全面加强练兵备战。
- **港澳台与外交**：坚持一个中国原则和九二共识，坚决反对台独分裂和外来干涉，推动两岸关系和平发展；坚持独立自主的和平外交政策，推动构建人类命运共同体。</t>
        </is>
      </c>
      <c r="D30" s="10" t="n">
        <v>54</v>
      </c>
      <c r="E30" t="inlineStr">
        <is>
          <t>9903/2375</t>
        </is>
      </c>
    </row>
    <row r="31" ht="13.5" customHeight="1" s="9">
      <c r="A31" s="6" t="inlineStr">
        <is>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is>
      </c>
      <c r="B31" s="2" t="inlineStr">
        <is>
          <t>沟通交流会</t>
        </is>
      </c>
      <c r="C31" t="inlineStr">
        <is>
          <t># 杭州医学院医学技术专业硕士点2026年招考宣讲会
## 沟通背景
杭州医学院检验医学院、生物工程学院党委书记、副院长宋宝峰副教授做客直播间，面向2026年考研考生全面介绍医学技术专业硕士点的基本情况。该学位点于2024年获批，由检验医学院、生物工程学院（合署办公）牵头，医学影像学院、康复学院、信息工程学院共建，聚焦检验技术（细分为医检和卫检）、医学影像技术、康复治疗、智能医学工程四个方向。2025年已录取64位考生，其中检验方向38人、影像方向11人、康复方向13人、智能医学工程方向2人。医学技术学科2023年获批省一流学科B类，近五年获国家级基金项目19项，纵向科研经费1300万，横向合作课题经费2200多万，获省科技进步一等奖2项、二等奖1项、三等奖2项，建成国家级一流本科课程2门、国家级一流本科专业建设点2个，并建有多个省级科研平台。宋书记系统介绍了学科优势、师资队伍、培养模式、就业前景及2026年招考政策，并鼓励跨专业考生报考，整体沟通基调积极务实，信息全面详实。
## 核心信息
### 学位点基本情况与学科建设
- **学位点概况**：医学技术专业硕士点于2024年获批，由检验医学院、生物工程学院（合署办公）牵头，医学影像学院、康复学院、信息工程学院共建，聚焦检验技术（细分为医检和卫检）、医学影像技术、康复治疗、智能医学工程四个方向。
- **招生情况**：2025年录取64位考生，其中检验方向38人、影像方向11人、康复方向13人、智能医学工程方向2人。
- **学科建设**：医学技术学科2023年获批省一流学科B类；近五年获国家级基金项目19项、省部级领先项目1项，纵向科研经费1300万，横向合作课题经费2200多万；获省科技进步一等奖2项、二等奖1项、三等奖2项；建成国家级一流本科课程2门、国家级一流本科专业建设点2个。
- **科研平台**：建有省生物标志物与器官诊断转化重点实验室、检验诊断关键技术研究室、康复模块和机器人国际联合实验室、省实验室和安全培训基地、数字化康复装备质量研究中心、脑认知与疾病数字医疗器械质量工程研究中心、浙江省神经系统疾病数字化装备研发重点实验室等省级平台。
### 学科优势与主要研究方向
- **体外诊断领域**：优势显著，疫情期间与企业联合开发新冠病毒核酸检测、抗原检测、抗体检测三个产品，获NMPA注册。
- **医学影像技术方向**：在多参数MRI、肿瘤分子影像学、医学图像处理等方面形成优势。
- **康复治疗方向**：依托省人民医院康复医学科，是省内综合医院中建科最早、人才最齐、技术最先进、设备最先进、社会效益最佳的康复医学科之一。
- **智能医学工程方向**：聚焦阿尔茨海默病智能预警生物标志物（数字生物标志物），居国际领跑水平；与浙大联合研制的阿尔茨海默病数字预警仪已申报二类医疗器械。
  - **医学检验技术方向**：负责人吕建新教授，研究方向包括重大疾病新型生物标志物筛选、新发突发传染病标志物、体外诊断技术、新型药物系统、神经免疫与再生等；团队发表高水平论文200多篇，获省科技一等奖3项。
  - **卫生检验检疫方向**：负责人金大志研究员，研究方向包括新发突发传染病病原体检测新技术、艰难梭菌致病机制等；团队发表中科院一二区论文85篇，主编专业教材12部、主审7部。
  - **医学影像技术方向**：负责人徐秀芳教授，研究方向包括多参数MRI、肿瘤分子影像学、神经导航引导脑肿瘤穿刺、脑肿瘤术前功能区定位；团队获国家自然科学基金3项、省部级项目20多项，获全国优秀教材二等奖1项。
  - **康复治疗方向**：负责人倪湘明教授（附属人民医院），研究方向包括技术研发、神经损伤修复与再生、运动康复机制、意识障碍促醒、中西医结合康复；团队获国家级课题23项、省级课题23项，省科技进步三等奖2项，国家发明专利和实用新型专利77项，发表SCI论文150篇。
  - **智能医学工程方向**：负责人李凯教授，研究方向包括脑认知与脑疾病智能诊疗、健康大数据、脑机接口、中医先进医疗器械、重大疾病智能诊断；团队主持参与国家级项目3项、省部级重点研发计划、200万以上重大设计项目，与中国人民解放军总院、浙一医院、日本文化研究所等开展合作。
### 师资队伍与领军人物
- **师资总体情况**：专任教师90人，高级职称53人（占30%以上），博士55人；硕导69人，其中正高35人、博士46人。
- **人才称号**：教育部医学技术类专业教学指导委员会委员、省万人创新人才2人次、浙江省151人才5人、省杰青1人、省高层次创新人才2人、省领军型创新创业团队1个。
- **吕建新教授**：博士，国家百千万人才工程人选，国家行业企业专家，享受政府特殊津贴专家，省万人计划领军人才，教育部医学技术类专业教学指导委员会委员，国家自然科学基金委医学技术检验学科专家组长，中华医学会检验学会教育学组组长；主持国家自然科学基金重点项目、科技部重点研发、863计划重点项目等十余项，发表高水平论文200多篇，获省科技一等奖3项、优秀教学成果奖2项。
- **徐秀芳教授**：博士，浙江省151人才第三层次，省高校中青年学科带头人，研究生院院长兼医学影像学院院长，国家一流本科专业建设点（医学影像技术）负责人，教育部教指委相关医学分会委员，中华医学会影像技术分会委员；近三年以通讯或第一作者发表多篇高水平论文。
- **叶祥明教授**：省人民医院主任医师、二级教授、博导、博士后导师，省康复中心主任，康复学院院长，省卫生领军人才，国家区域医疗中心浙江省重点培育专科康复医学学科带头人，数字化康复装备省部研究中心常务副主任；主持国家级课题3项、省重大课题2项，发表SCI论文98篇。
- **金大志研究员**：博士、硕导，美国华盛顿大学博士后，美国MSCC访问学者，省创新人才，省卫生创新人才，省首届优秀医疗机器人才，检验医学院学术院长，省生物标志物与器官诊断转化重点实验室主任，中国医师协会临床微生物分会常务委员；主持国家自然科学基金面上项目、863子项、科技部重大专项子课题、省重点研发计划、省自然基金重点项目、省部共建重大项目等25项，发表SCI论文50多篇，参编专著6部，获省科技进步二等奖1项、三等奖1项。
- **李凯教授**：信息工程学院院长，复旦大学公共卫生学院博士，早稻田大学访问学者，智能医学前沿交叉学科研究院执行院长，智能医学工程学科负责人，浙江省中医药重点学科带头人；参与国家级、省部级项目，研制全生命周期中医治疗及康复医疗体系设备3台/套。
### 硕士培养与就业去向
- **培养目标**：面向健康中国发展需要，培养熟练掌握医学技术领域专业知识技能、具有良好创新实践能力的高层次应用型人才。
- **培养方式与学制**：教学、专业实践与学位论文相结合；全日制专业学位学制三年，最长不超过五年。
- **课程学分**：毕业前要求学业课程不少于24学分，其中专业必修课分方向、学分≥12学分，专业选修课（如智慧医疗、中医康复治疗学、生物信息学等）需达到5-6学分以上。
- **培养环节**：第二学期开题，第三、四学期（研二）过程性考核，研二第二学期学位论文答辩。
- **就业方向**：医院检验科、输血科、病理科、放射科、超声科、康复医学科、骨科、神经科、运动医学科等科室；疾控中心（CDC）从事传染病防控、慢性病防治；医药企业与生物技术公司、医疗器械公司、保险公司；药监局、卫健委、海关等公务员事业单位；高校、研究所继续深造读博。举例：东阳市疾控中心招聘检验方向微生物检验岗位要求硕士及以上。
- **就业前景**：目前尚无毕业生（2025年开始招生），但对就业前景充满信心。
### 2026年招考计划与初试复试安排
- **招生计划**：2026年计划招生34人（仅供参考，以教育部正式下达人数为准）。
- **初试科目**：思想政治理论、英语（统考），专业课按方向自主命题：检验综合、医学影像技术综合、康复治疗综合、智能医学工程综合；专业课分值300分，考试时长180分钟。
- **检验综合考试内容**：分子生物学检验、生物化学检验、微生物学检验，占比分别为40%、30%、30%。
- **考试大纲**：包含考试内容、形式、试卷结构、知识点及参考书目。
- **复试安排**：线上线下结合，目前以线下为主；初试占60%、复试占40%；复试内容为英语能力测试20%、专业能力测试40%、综合能力测试40%。
- **信息发布渠道**：研究生招生网网址为研究生招生.杭州医学院.edu.cn，具体以学校研究生招生网公布为准。
### 考生互动答疑
- **就业前景**：国家就业优先，专业就业面广，可继续深造读博，进入三甲医院、疾控中心、医药企业、医疗器械公司、保险公司、药监局、卫健委、海关、高校研究所等。
- **复试环节**：专业能力测试、综合能力测试、英语能力测试三个环节，比例分别为40%、40%、20%。
- **初试科目**：三门，两门统考（思想政治理论、英语），一门专业课按方向选择；英语考试难度介于四级和六级之间。
- **跨专业报考**：允许非本专业考生跨专业报考，如从事检验的考生可报考检验方向。
- **校园与竞赛**：学校有三个校区（滨江校区、黄龙校区等），交通便利；学校重视学科竞赛，研究生在竞赛中取得好成绩，有专门讲座和培训。
- **直播回放**：将在24小时内上传B站。
## 各方诉求
- **考生及家长**：核心关注就业前景、复试环节构成与占比、初试科目设置、英语考试难度、跨专业报考资格、校园交通便利性及学科竞赛支持情况，宋宝峰书记逐一作出回应，明确就业面广、复试环节清晰、允许跨专业报考等。
- **宋宝峰书记（杭州医学院）**：全面介绍学位点学科建设、师资力量、培养模式与招考政策，突出学科实力与就业前景，鼓励跨专业考生报考，并提醒考生以学校研究生招生网公布信息为准。
## 沟通结果
**达成共识**
- **2026年招生计划**：医学技术专业硕士点计划招生34人，实际人数以教育部正式下达为准。
- **初试科目设置**：初试专业课按方向自主命题，包括检验综合、医学影像技术综合、康复治疗综合、智能医学工程综合。
- **复试方案**：复试采用线下为主的方式，初试占60%、复试占40%，复试内容为英语能力测试20%、专业能力测试40%、综合能力测试40%。
- **跨专业报考**：允许非本专业考生跨专业报考医学技术专业硕士点。
**待协调事项**
- **招生计划确认**：由杭州医学院根据教育部正式下达人数最终确认2026年实际招生名额，考生以学校研究生招生网公布信息为准。
- **考试大纲发布**：由学校研究生招生网发布各方向专业课考试大纲，包含考试内容、形式、试卷结构、知识点及参考书目，供考生备考参照。</t>
        </is>
      </c>
      <c r="D31" s="10" t="n">
        <v>93.5</v>
      </c>
      <c r="E31" t="inlineStr">
        <is>
          <t>23026/4517</t>
        </is>
      </c>
    </row>
    <row r="32" ht="13.5" customHeight="1" s="9">
      <c r="A32" s="6" t="inlineStr">
        <is>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is>
      </c>
      <c r="B32" s="2" t="inlineStr">
        <is>
          <t>课堂记录</t>
        </is>
      </c>
      <c r="C32" t="inlineStr">
        <is>
          <t># 历史小论文写作规范与解题步骤指导课
## 课程概况
本次课程为历史小论文写作指导课，主讲人围绕历史小论文的写作规范与解题步骤展开系统讲解。课程核心主题是帮助学生掌握观点提炼、论证组织与结构安排的基本方法，学习目标为提升学生审题、读材料、列事实、写结论的综合写作能力。主讲人首先强调观点必须明确亮出并凝聚，不能只是简单陈述形式；论证部分建议写2-3条以支撑论点，不宜过多或过少；结构需清晰，可按时间脉络（如700时期、明清时期）或国内外、内外等逻辑顺序罗列，结尾需升华观点而非简单重复。随后课程通过自命题、观点提示、图表信息三类题型的例题演练，引导学生将写作规范应用于实际解题。自命题类题目强调先审题、再读材料、后列事实的步骤；观点提示类题目以梁启超观点评析为例，强调结合历史背景、不照抄材料；图表信息类题目则训练学生快速提取图表关键信息并分析关系变化。课堂节奏紧凑，讲练结合，主讲人针对学生作答逐一点评纠正，整体推进有序。
## 核心知识点
### 小论文写作规范
- **观点明确**：观点必须明确亮出并凝聚，不能只是简单陈述形式，需将观点作为全文核心统领。
- **论证条数**：论证一般写两到三条，不宜太多；写一条可能无法支撑论点，太多也不好。
- **结构安排**：可按时间顺序（如700时期、明清时期）或国内外、内外等逻辑顺序罗列，结构需清晰。
- **结尾升华**：结尾需升华观点，不能简单抄写或重复观点。
### 自命题类题目解题步骤
- **审题**：注意要求中的"小红帽"（关键要求）与形成标准，明确题目指向。
- **读材料**：先大概浏览抓主要信息，再细看材料间关系，把握材料核心内容。
- **列事实与总结**：先写题目，再罗列与材料相关的事实，最后进行总结升华。
### 例题演练：武汉长江大桥
- **写作内容**：应包含背景、措施、影响等部分，按时间顺序应先写对内改革，再写对外开放。
- **常见问题**：学生作答存在审题不清、未明确时间等问题，需注意时间脉络的清晰交代。
### 观点提示类题目
- **核心观点选择**：需选择核心观点并明确表述，不能照抄材料。
- **历史背景结合**：以梁启超观点评析为例，需结合1940年抗战时期的历史背景理解观点关联，学生选择第二条观点进行评析。
### 图表信息类题目
- **信息提取**：需快速查看图表关键信息（题头、横向纵向），注意信息间关系变化，提取有效信息进行分析。
- **材料解读**：通过涉及审判与行政关系的例题，需注意材料解读的准确性，辨析审判与行政的关系。
## 问答记录
- **论证条数如何把握**：论证一般写两到三条，写一条可能无法支撑论点，太多也不好。
- **写作结构如何安排**：可按时间顺序（如700时期、明清时期）或国内外、内外等逻辑顺序罗列，结构需清晰。
- **结尾如何处理**：需升华观点，不能简单抄写或重复观点。
## 课后任务
- **复习写作规范**：巩固观点明确、论证2-3条、结构清晰（时间/国内外等逻辑）、结尾升华的写作要点。
- **掌握解题步骤**：复习自命题类题目"审题—读材料—列事实—总结"的完整流程，注意审题时识别"小红帽"关键要求。
- **例题复盘**：回顾武汉长江大桥、梁启超观点评析、图表信息类三道例题的解题思路，重点纠正审题不清、未明确时间、照抄材料等问题。
- **预习准备**：结合课堂点评，针对自身作答薄弱环节（如观点提炼、材料解读准确性）进行针对性练习。</t>
        </is>
      </c>
      <c r="D32" s="10" t="n">
        <v>50.8</v>
      </c>
      <c r="E32" t="inlineStr">
        <is>
          <t>12357/1477</t>
        </is>
      </c>
    </row>
    <row r="33" ht="13.5" customHeight="1" s="9">
      <c r="A33" s="6" t="inlineStr">
        <is>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is>
      </c>
      <c r="B33" s="2" t="inlineStr">
        <is>
          <t>政府报告</t>
        </is>
      </c>
      <c r="C33" t="inlineStr">
        <is>
          <t># 十四届全国人大三次会议开幕 李强作政府工作报告
## 报告概况
第十四届全国人民代表大会第三次会议开幕，出席代表2929人，今天出席2880人，缺席49人，出席人数符合法定人数。会议第一项议程为审议政府工作报告，国务院总理李强代表国务院向大会作报告，并请全国政协委员提出意见。报告回顾2024年工作，部署2025年经济社会发展总体要求、主要预期目标及政府工作任务。2024年面对外部压力加大、内部困难增多的复杂严峻形势，经济运行总体平稳、稳中有进，全年经济社会发展主要目标任务顺利完成。国内生产总值达到134.9万亿元，增长5%；城镇新增就业1256万人，城镇调查失业率平均为5.1%；居民消费价格上涨0.2%，外汇储备超过3.2万亿美元；居民人均可支配收入增长5.1%。粮食产量首次跃上1.4万亿斤新台阶，新能源汽车年产量突破1300万辆，嫦娥六号实现人类首次月球背面采样返回。2025年坚持稳中求进工作总基调，实施更加积极有为的宏观政策，明确国内生产总值增长5%左右等主要预期目标，部署大力提振消费、发展新质生产力、科教兴国、改革开放、防范风险、乡村振兴、绿色转型、民生保障等政府工作任务。
## 核心政策
- **2025年主要预期目标**：国内生产总值增长5%左右，城镇调查失业率5.5%左右，城镇新增就业1200万人以上，居民消费价格涨幅2%左右，居民收入增长和经济增长同步，国际收支保持基本平衡，粮食产量1.4万亿斤左右，单位国内生产总值能耗降低3%左右。
- **更加积极的财政政策**：赤字率拟按4%左右安排，赤字规模5.66万亿元；拟发行超长期特别国债1.3万亿元，发行特别国债5000亿元支持国有大型商业银行补充资本；安排地方政府专项债券4.4万亿元，合计新增政府债务总规模11.86万亿元，比上一年增加2.9万亿元。
- **适度宽松的货币政策**：适时降准降息，保持流动性充裕。
- **大力提振消费**：安排超长期特别国债3000亿元支持消费品以旧换新，中央预算内投资已安排7350亿元。
- **发展新质生产力**：培育生物制造、量子科技、具身智能、6G等未来产业，持续推进人工智能+行动。
- **科教兴国战略**：制定实施教育强国建设三年行动计划，逐步推行免费学前教育。
- **民生保障政策**：城乡居民基本养老金最低标准再提高20元，制定促进生育政策、发放育儿补贴。
## 重点工作
### 扩大内需与提振消费
- **消费品以旧换新**：安排超长期特别国债3000亿元支持消费品以旧换新，大力提振消费。
- **提高投资效益**：中央预算内投资已安排7350亿元，发挥政府投资带动作用。
### 发展新质生产力
- **培育未来产业**：培育生物制造、量子科技、具身智能、6G等未来产业。
- **推进人工智能+行动**：持续推进人工智能与实体经济深度融合。
### 科教兴国战略
- **教育强国建设**：制定实施教育强国建设三年行动计划，逐步推行免费学前教育。
### 改革开放
- **零基预算改革**：开展中央部门零基预算改革试点，推动标志性改革举措落地。
- **扩大高水平对外开放**：稳定对外贸易发展，大力鼓励外商投资。
### 防范化解重点领域风险
- **房地产市场**：持续用力推动房地产市场止跌回稳。
- **地方政府债务**：稳妥化解地方政府债务风险。
- **金融领域**：积极防范金融领域风险。
### 乡村振兴
- **土地承包延期试点**：有序推进第二轮土地承包到期后再延长30年试点，着力抓好三农工作。
### 绿色转型
- **降碳减污扩绿增长**：协同推进降碳减污扩绿增长，积极稳妥推进碳达峰碳中和。
### 民生保障
- **养老金标准提高**：城乡居民基本养老金最低标准再提高20元。
- **生育支持政策**：制定促进生育政策，发放育儿补贴。
### 规划编制
- **十五五规划**：今年将开展十五五规划编制工作。</t>
        </is>
      </c>
      <c r="D33" s="10" t="n">
        <v>40.4</v>
      </c>
      <c r="E33" t="inlineStr">
        <is>
          <t>10273/1674</t>
        </is>
      </c>
    </row>
    <row r="34" ht="13.5" customHeight="1" s="9">
      <c r="A34" s="6" t="inlineStr">
        <is>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is>
      </c>
      <c r="B34" s="2" t="inlineStr">
        <is>
          <t>通用纪要</t>
        </is>
      </c>
      <c r="C34" t="inlineStr">
        <is>
          <t># 通用纪要
## 全文摘要
景城苑小区物业招标评标会于现场举行，两家物业公司（富家物业、深圳市资平物业发展有限公司）先后进行陈述并回答业主代表提问。评标委员会在全程保密、暂停网络直播、录像不公开的情况下进行打分，去掉一个最高分和一个最低分后，深圳市资平物业发展有限公司以最高分中标，成为中标候选人。
富家物业在答疑中提出一年内完成改造，针对停车管理提出增设人行门禁系统、升级大堂报到系统、增设隔离墩、建设外围停车场并安装停车管理系统、增设电动车停车场等措施；承接查验方面提出提前两周入场摸底、提前一周培训人员，并分顺利与不顺利两种情况处理交接；服务上提出"用心去倾听、如实记录、马上处理、及时反馈"四句话原则。
资平物业介绍公司背景，成立于2004年，总部在深圳，全国367个项目，其中127个业委会项目，创始人陈志平为万科物业创始人之一，公司为中国物业管理协会副会长单位、全国百强企业。针对景城苑项目配置16人，承诺一线人员直招不外包，提出四步举措：洗理静音、疏金活选、疑难杂症、有效提升，计划八个月内完成设备设施和现场整改，一年内保证小区有序运行，并导入顾客管理系统、每两个月开展一次社区文化活动。
资平物业在答疑中回应包干制经验，湖南11个项目中有10个包干制，承诺财务透明和业主知情权；承接查验时增派150%人员（从16人增至24人）；停车管理提出收集业主车辆信息、制定停车管理方案，包括禁区停放和动线管理；针对杂物堆放提出宣传引导、联合社区、限期处理、提供临时堆放区等疏导方式，并设置集中晾晒区、提供免费上门晾晒增值服务。
评标结果：长沙富佳物业管理有限公司得分72.91分，湖南恒居基居业物业管理有限公司得分60.73分，重庆新东源物业管理有限公司得分54.48分，深圳市资平物业发展有限公司得分最高，成为中标候选人。
## 要点梳理
### 富家物业答疑
- **改造计划**：预计改造时间在一年内完成。
- **停车管理**：针对小区停车问题，提出多项措施：
  - 增设人行门禁系统，支持微信、卡、密码进出。
  - 升级大堂报到系统，统一管理业主车辆信息，临时车辆登记放行。
  - 增设隔离墩禁止公共场所停车，建设外围停车场并安装停车管理系统。
  - 增设电动车停车场以解决乱停乱放问题。
- **承接查验**：提前两周对项目负责人入场摸底，提前一周安排服务人员到位并培训；分顺利与不顺利两种情况处理交接。
- **安防监控**：增设门禁和停车管理系统，提升安防水平。
- **服务原则**：提出四句话原则——用心去倾听、如实记录、马上处理、及时反馈。
### 资平物业陈述
- **公司背景**：成立于2004年，总部在深圳，全国367个项目，其中127个业委会项目；创始人陈志平为万科物业创始人之一，参与建立中国第一个业委会；公司为中国物业管理协会副会长单位、全国百强企业。
- **人员配置**：对景城苑项目配置16人，薪酬福利高于同类及周边项目；承诺所有一线人员直招不外包。
  - 洗理静音：进场一个月集中清扫。
  - 疏金活选：设备设施排查。
  - 疑难杂症：重大事项授权。
  - 有效提升：品质提升。
- **整改计划**：八个月内完成设备设施和现场整改，一年内保证小区有序运行。
- **管理系统**：导入顾客管理系统，集中处理业主投诉、咨询、报事，并形成大数据管理；每两个月开展一次社区文化活动。
### 资平物业答疑
- **包干制经验**：湖南11个项目中有10个包干制、1个酬金制；承诺包干制下保证财务透明和业主知情权。
- **人员构成**：所有管理干部30%来自现有团队，60%左右来自现有物业优秀员工或新招聘。
- **增值服务**：在长沙提供居家上门服务，员工免费，材料费业主自付或代购。
- **承接查验**：增派150%人员，即从16人增至24人。
- **停车管理**：收集业主车辆信息，制定停车管理方案，包括禁区停放和动线管理。
- **杂物堆放**：对楼层顶层杂物堆放以宣传引导、联合社区、限期处理、提供临时堆放区等方式疏导解决，避免激化矛盾。
- **晾晒服务**：设置集中晾晒区，并提供免费上门晾晒增值服务。
### 评标与结果公布
- **打分规则**：去掉一个最高分和一个最低分。
- **保密要求**：打分环节全程保密，暂停网络直播，录像材料不予公开。
  - 长沙富佳物业管理有限公司得分72.91分。
  - 湖南恒居基居业物业管理有限公司得分60.73分。
  - 重庆新东源物业管理有限公司得分54.48分。
  - 深圳市资平物业发展有限公司得分最高，成为中标候选人。
## 结论与决定
- **中标结果**：深圳市资平物业发展有限公司以最高分中标，成为景城苑小区物业招标的中标候选人。
- **评分规则**：评标采用去掉一个最高分和一个最低分的方式计算各公司得分。
- **保密要求**：打分环节全程保密，暂停网络直播，录像材料不予公开。</t>
        </is>
      </c>
      <c r="D34" s="10" t="n">
        <v>51.3</v>
      </c>
      <c r="E34" t="inlineStr">
        <is>
          <t>11743/2084</t>
        </is>
      </c>
    </row>
    <row r="35" ht="13.5" customHeight="1" s="9">
      <c r="A35" s="6" t="inlineStr">
        <is>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is>
      </c>
      <c r="B35" s="2" t="inlineStr">
        <is>
          <t>专题讲座</t>
        </is>
      </c>
      <c r="C35" t="inlineStr">
        <is>
          <t># 康熙朝文渊阁大学士陈廷敬生平述评
## 讲座概况
本期《正直讲史》由主讲人李正讲述康熙朝文渊阁大学士陈廷敬的一生。节目开篇即指出，影视剧中陈廷敬支持撤藩、招抚台湾、维护后勤等功绩均非史实，但其临终前康熙仍询问“大臣中学问人品如大学士可代理内廷事务者为谁”，足见倚重之深。全片按“妈妈张氏的开蒙”“圣祖康熙的讲师”“至公无私的落幕”三阶段展开，核心主张是：陈廷敬虽无显赫事功，却因学问人品与清廉正直而深得康熙信任，一生清白、恪守初心。
第一阶段讲述陈廷敬的早年教育与科举之路。陈廷敬本名陈敬，1638年生于山西泽州府阳城县，书香门第，童年由母亲张氏开蒙。张氏自幼随父读书，精通儒家经典，婚后勤学不辍，亲自口授陈廷敬四书五经，使其6岁前背完《论语》《孟子》《大学》《中庸》《诗经》，9岁作《咏牡丹》获母亲称赞。科举顺遂：14岁以全省第一中秀才，20岁中举人，21岁中进士并入翰林院任庶吉士。因与直隶陈敬重名，22岁主动上书改名，顺治赐名“廷敬”。顺治18年顺治驾崩，康熙元年母亲病倒，陈廷敬请假归乡三年。
第二阶段讲述陈廷敬担任康熙讲师及执掌翰林院。重返官场后，陈廷敬两年获考评一等，32岁升国子监司业，整顿学生送礼陋习，凡送礼者不见。35岁被康熙任命为日讲官，后升经筵讲师，教学风格外放，讲评经史狠辣，曾痛斥孙权背刺关羽为“猪狗”。康熙16年母亲病逝，康熙破例下令按学士品级遣官祭奠，礼部以封号不符反对，康熙以“吾何以劝劳臣乎”驳回，遣大学士明珠等携茶酒往祭。
第三阶段讲述陈廷敬出任左都御史及三部尚书，整顿弊政，后因亲家张谦案牵连辞官，复出后升任文渊阁大学士。康熙23年陈廷敬升左都御史，上奏捐纳者上岗前须追加考试，吏部反对，康熙支持并补充要求督抚详查已任命官员。此后历任工部、户部、吏部尚书，所到之处整顿秩序。康熙26年亲家张谦贪污案牵连陈廷敬，康熙传旨只处理张谦一人，不扩大株连，陈廷敬51岁主动辞官，康熙留其在京修书。康熙29年复出再任左都御史，此后历任刑部、户部、吏部尚书，康熙42年升文渊阁大学士并总理南书房。70岁起连续三次请退被拒，康熙49年第四次请退获准，赐匾额“午亭山村”和楹联“春归乔木浓阴茂，秋到黄花晚节香”。两年后病逝，终年75岁，谥号文贞，康熙包办治丧费用，命各部院满汉大臣往吊。
## 核心观点
### 母亲开蒙奠定学问根基
- **书香门第，母教为源**：陈廷敬出身书香门第，童年教育由母亲张氏负责。张氏自幼随父读书，精通儒家经典，婚后勤学不辍，亲自口授四书五经。
  - 陈廷敬6岁外出上学前，已背完《论语》《孟子》《大学》《中庸》和《诗经》。
  - 9岁作《咏牡丹》，母亲张氏称赞其天才。
- **科举顺遂，少年得志**：14岁赴试潞安府，以童子第一入州学，即全省第一中秀才；20岁中举人，21岁中进士，同年入选翰林院任庶吉士。
- **主动更名，顺治赐字**：因与直隶陈敬重名，22岁主动上书奏请更名，顺治赐名“廷敬”。
  - 顺治15年四月，顺治检阅考试，选取马进勇、杨正中、山西泽州人陈敬、直隶通州人陈敬等32人为庶吉士。
  - 顺治18年，陈廷敬24岁，庶吉士毕业考试获同届第一，授秘书院检讨。
### 以学问人品获康熙倚重
- **整顿国子监陋习**：康熙八年，陈廷敬32岁升任正六品国子监司业，拒绝学生送礼，凡送礼者不见，不送礼才见。
- **两充讲师，深得圣心**：康熙11年十月，陈廷敬35岁以翰林院侍讲学士充日讲起居注官；康熙15年九月，以内阁学士兼礼部侍郎充经筵讲官。
  - 教学风格外放，讲评经史狠辣，曾痛斥孙权背刺关羽为“猪狗”。
  - 康熙16年正月，以内阁学士为翰林院长院学士教习处学士。
- **破例祭母，礼部被驳**：康熙16年母亲张氏病逝，终年59岁。康熙下令按学士品级祭奠，遣大学士明珠、翰林院长院学士喇沙里等携茶酒往祭。
  - 礼部以陈母封号为詹事府詹事时授予、按规定无资格为由反对。
  - 康熙以“吾何以劝劳臣乎”驳回，坚持破例祭奠。
### 整顿弊政，至公无私
- **整顿捐纳，追加考试**：康熙23年，陈廷敬47岁升任从一品左都御史，上奏捐纳者上岗前须追加考试，考不上不能上岗。
  - 陈廷敬主张“自古未有不晓文艺之人可以为民父母者也”，捐纳买官只是候补资格，上岗时须考试。
  - 吏部以“以前补用人员从未考试”为由反对，康熙支持陈廷敬，并补充要求各地督抚详查已任命官员，不识字义者参奏。
- **历任三部尚书，所到整顿秩序**：此后历任工部、户部、吏部尚书，所到之处整顿秩序。
- **张谦案牵连，主动辞官**：康熙26年，陈廷敬50岁，湖广巡抚张谦（陈廷敬亲家）因贪污被抓，供称曾贿赂陈廷敬、徐乾学、高士奇。
  - 康熙传旨主审官马齐，张谦案只处理张谦一人，不得扩大株连，其他人事后密查。
  - 陈廷敬51岁主动上书辞官，康熙准许并留其在京修书。
### 位极人臣，清白善终
- **复出再任，终登相位**：康熙29年，陈廷敬53岁复出再任左都御史，此后历任一年刑部尚书、六年户部尚书、四年吏部尚书。
- **升任大学士，总理南书房**：康熙42年，陈廷敬66岁升任文渊阁大学士，总理南书房事务。
- **四次请退，终获恩准**：康熙46年起，陈廷敬70岁开始申请退休，70岁、71岁、72岁连续三次申请均被康熙拒绝。
  - 康熙49年，73岁第四次申请退休，康熙准奏，并赐匾额“午亭山村”和楹联“春归乔木浓阴茂，秋到黄花晚节香”。
- **身后哀荣，谥号文贞**：两年后陈廷敬病逝，终年75岁，谥号文贞。康熙包办治丧费用，从大内找紫砂碗为其做棺材，命各部院满汉大臣往吊。
## 金句总结
&gt; “自古未有不晓文艺之人可以为民父母者也，有未经考职遂行捐纳者，于选出之时仍行考试，文艺略小者给予录用，否则且令异业听其再试。”
&gt; —— **陈廷敬**（任左都御史时上奏，主张捐纳者上岗前须追加考试）
&gt; “吾何以劝劳臣乎？”
&gt; —— **康熙**（礼部反对按学士品级祭奠陈廷敬母亲时，康熙以此驳回）
&gt; “春归乔木浓阴茂，秋到黄花晚节香。”
&gt; —— **康熙**（康熙49年准奏陈廷敬退休时赐予的楹联，喻其一生清白、晚节不亏）
## Q&amp;A 环节
本次讲座以主旨分享为主，现场未设置问答互动。</t>
        </is>
      </c>
      <c r="D35" s="10" t="n">
        <v>84.8</v>
      </c>
      <c r="E35" t="inlineStr">
        <is>
          <t>9132/2622</t>
        </is>
      </c>
    </row>
    <row r="36" ht="13.5" customHeight="1" s="9">
      <c r="A36" s="6" t="inlineStr">
        <is>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is>
      </c>
      <c r="B36" s="2" t="inlineStr">
        <is>
          <t>采访记录</t>
        </is>
      </c>
      <c r="C36" t="inlineStr">
        <is>
          <t># 《锵锵三人行》对话当年明月：从《大奥》看中日文化差异与明史研究
## 访谈概述
本期《锵锵三人行》邀请《明朝那些事儿》作者当年明月与嘉宾马未都，围绕日本历史剧《大奥》展开讨论，并延伸至中日文化差异与明朝历史研究。主持人窦文涛开场介绍嘉宾，提及《大奥》刚播完引起反响。当年明月认为该剧吸引他的是严谨的精神，演员专业、场面华丽；马未都指出剧中礼仪严谨，后宫不许进人。嘉宾一致认为《大奥》是一部制作精良、反映日本文化的优秀历史剧。
关于日本文化，马未都强调日本民族精神的坚韧与忠诚，认为日本战后用30年成为世界第二经济强国（绝对量而非人均量），是唯一没有资源的强国，其成功源于全民族的极端精神。当年明月分析日本文化的极端性，认为所有事情要做到尽头，并指出日本文化中融入团体、按规则做事是生存之道。马未都举例日本豆腐厂当天做当天卖，夜里11:45等待12点整开始工作，体现一丝不苟；又举做绳子的人几年不赚钱、最终通过市场垄断获利的例子，说明忠诚与耐心是成功路径。
关于忠诚文化，马未都通过《大奥》中阿福25岁进宫当奶妈、65岁去世、40年无私心被所有人视为楷模的事例，说明日本忠诚文化靠具体事而非说教。当年明月认为这种文化源于岛国恶劣生态环境下的求生欲望，人只有融入团体、按规则做事才能生存。针对日本民族是否藐视生命，马未都反驳称日本人是重视生命资本，经济危机时身家万贯者自杀并非藐视生命；当年明月则认为日本文化有寻死的潜在欲望，看樱花只看落的那一天，对死亡有向往或不惧怕。
话题转向明朝历史，当年明月分享研究明史的动机：明史资料最多，但一个事件可能有七个不同说法，需谨慎对待。他推崇朱元璋，认为其是历史上唯一由最底层（乞丐）当上皇帝的人，刘邦好歹是村长；明朝规章制度由朱元璋定下，基本没有太大改动。关于明朝兴亡，嘉宾认为明朝有仁宣盛世、晚明市民生活富裕（有文徵明、金瓶梅等文化产物），但历史教训难以吸取。当年明月提出历史最大的教训是从来没有从历史中得到过教训，强调历史是发生过的，不能套用经验教训。
关于明朝皇帝趣事与历史评价，当年明月认为正德皇帝被写坏，因明武宗实录是嘉靖时期指派杨廷和等人编的，有偏颇（嘉靖通过大礼仪事件追封父亲为皇帝）。他举例正德皇帝从江南回来在通州停半年、先派人打探京城情况，说明其有城府。马未都补充天启皇帝爱当木匠，干完活拆大盆去卖、卖完还打听销量，反映当时社会对家具的重视。嘉宾还讨论明朝灭亡原因，提及1644年北京发生瘟疫（疙瘩瘟，可能是天花）导致无人抵抗，以及中国历史上超过300年大限的只有宋朝（汉朝中间隔断14年）。
## 访谈详细记录
### 《大奥》观感与日本历史剧
- **《大奥》整体评价**：嘉宾一致认为该剧制作精良，是一部反映日本文化的优秀历史剧。三部曲分别对应中国晚清到清初、明治维新前等时段。
- **当年明月的观感**：吸引他的是严谨的精神，演员专业、场面华丽。
- **马未都的观感**：剧中礼仪非常严谨，后宫不许进人。
### 日本文化精神与中日对比
- **日本战后崛起**：马未都指出日本战后用30年时间成为世界第二经济强国，是绝对量而非人均量，且是唯一没有资源的强国，其成功源于全民族的极端精神。
- **日本文化的极端性**：当年明月认为日本文化强调极端精神，所有事情要做到尽头。
- **一丝不苟的例证**：马未都举例日本豆腐厂当天做当天卖，夜里11:45等待12点整开始工作，体现一丝不苟。
- **跳槽率与终身雇佣制**：马未都指出日本人的跳槽率最高，但终身雇佣制下工作效率依然很高。
- **中日文化对比**：讨论将日本文化的极端精神与中国的中庸文化进行对比，凸显两种文化精神的差异。
### 日本忠诚文化的具体体现
- **《大奥》中阿福的事例**：马未都通过阿福25岁进宫当奶妈、65岁去世、40年无私心被所有人视为楷模的事例，说明日本忠诚文化靠具体事而非说教。
- **做绳子人的故事**：马未都举例日本做绳子的人几年不赚钱，最终通过市场垄断获得巨大利润，说明忠诚与耐心是成功路径。
- **忠诚文化的生存逻辑**：当年明月认为日本文化中融入团体、按规则做事是生存之道，源于岛国恶劣生态环境下的求生欲望。
  - 马未都反驳称日本民族不是藐视生命，而是重视生命资本，经济危机时身家万贯者自杀并非藐视生命。
  - 当年明月则认为日本文化有寻死的潜在欲望，看樱花只看落的那一天，对死亡有向往或不惧怕，源于岛国恶劣生态环境。
### 明朝历史与《明朝那些事儿》
- **研究明史的动机**：当年明月研究明史是因为明史资料最多，但一个事件可能有七个不同说法，需谨慎对待。
- **对朱元璋的推崇**：朱元璋是历史上唯一由最底层（乞丐）当上皇帝的人，刘邦好歹是村长；明朝规章制度由朱元璋定下，基本没有太大改动。
- **历史研究的方法**：当年明月认为历史最重要的是明白它是发生过的，不能套用经验教训。
### 明朝兴亡与历史教训
- **明朝的盛世与晚明生活**：明朝仁宣盛世时间太短，晚明时期老百姓生活很好，有文徵明、金瓶梅等文化产物；明末江南工商业兴起，市民生活轻松，娱乐产品出现说明有养活自己的资本。
- **明朝灭亡的直接原因**：1644年明朝首都北京发生瘟疫（疙瘩瘟，可能是天花），导致无人抵抗。
- **历史教训难以吸取**：当年明月提出历史最大的教训是从来没有从历史中得到过教训。
- **朝代更迭的规律**：中国历史上超过300年大限的只有宋朝，汉朝中间隔断14年。
### 明朝皇帝趣事与历史评价
- **正德皇帝被写坏**：当年明月认为正德皇帝被写坏，因明武宗实录是嘉靖时期指派杨廷和等人编的，有偏颇（嘉靖通过大礼仪事件追封父亲为皇帝）。
- **正德皇帝的城府**：正德皇帝从江南回来在通州停半年，先派人打探京城情况，很有城府；他曾想去江南，被大臣跪谏阻止，打死十几个锦衣卫。
- **天启皇帝的木匠爱好**：马未都补充天启皇帝爱当木匠，干完活拆大盆去卖、卖完还打听销量，反映当时社会对家具的重视。
## 金句总结
&gt; “我觉得日本民族他不是藐视生命，他是重视啊，他是翻着的。”
&gt; —— **马未都**（回应日本民族是否藐视生命的讨论，强调日本人是重视生命资本）
&gt; “他们总觉得这个由于常年以来生活在岛国上，就是确实生态环境太恶劣了，所以他对于死亡他不是说藐视死亡，他是应该说是有点向往的感觉。”
&gt; —— **当年明月**（分析日本文化对死亡的态度，认为源于岛国恶劣生态环境）</t>
        </is>
      </c>
      <c r="D36" s="10" t="n">
        <v>69.3</v>
      </c>
      <c r="E36" t="inlineStr">
        <is>
          <t>17496/2711</t>
        </is>
      </c>
    </row>
    <row r="37" ht="13.5" customHeight="1" s="9">
      <c r="A37" s="6" t="inlineStr">
        <is>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is>
      </c>
      <c r="B37" s="2" t="inlineStr">
        <is>
          <t>采访记录</t>
        </is>
      </c>
      <c r="C37" t="inlineStr">
        <is>
          <t># 余华访谈：创作三阶段与文学理想
## 访谈概述
本次访谈围绕作家余华的文学创作历程、写作理念、对批评的态度及人生感悟展开。余华将文学创作分为1.0、2.0、3.0三个阶段：1.0是逼自己坐下来写，让屁股和椅子建立友谊；2.0受卡夫卡启发，写出《十八岁出门远行》；3.0通过视觉描写表现心理，受威廉·福克纳影响，认为心理描写应通过视觉行为精确表达。他早期目标对标托尔斯泰和陀思妥耶夫斯基，但后来意识到距离不可逾越。他强调写作需要运气，作家什么时候写什么作品很重要。余华回顾《兄弟》的创作始于1996年，因当时中国社会变化复杂而搁置，2003-2004年重新写作时发现2004年的变化比1996年更大，庆幸没有在1996年写完。他反思最好的写作状态出现在40多岁到50多岁，即《兄弟》到《第七天》期间，但那段时光被浪费，只出了两部作品。他分享童年游泳被海流带走的经历，以此比喻人生，并谈到对批评的态度、马尔克斯对一代中国作家的误导，以及与莫言、苏童同游莎士比亚故居的趣事。访谈核心看点在于余华对创作阶段的自我剖析、对批评的理性区分，以及他计划先完成一部喜剧、追求写作宽度而非高度的未来规划。
## 访谈详细记录
### 文学创作的分阶段与写作理念
- **创作三阶段**：余华将文学创作分为1.0、2.0、3.0三个阶段。1.0是逼自己坐下来写，让屁股和椅子建立友谊；2.0受卡夫卡启发，写出《十八岁出门远行》；3.0通过视觉描写表现心理，受威廉·福克纳影响，认为心理描写应通过视觉行为精确表达。
- **早期目标与转变**：余华早期写作目标对标托尔斯泰和陀思妥耶夫斯基，但后来意识到距离不可逾越。
- **写作与运气**：余华认为写作需要运气，作家什么时候写什么作品很重要。《十八岁出门远行》一天写完
### 《兄弟》的创作背景与时代变化
- **创作历程**：《兄弟》创作始于1996年，因当时中国社会变化复杂而搁置，2003-2004年重新写作时发现2004年的变化比1996年更大，庆幸没有在1996年写完。
- **时代判断**：余华认为中国始终处于大变化的时代。
### 写作状态与时间浪费的反思
- **最佳状态反思**：余华认为最好的写作状态出现在40多岁到50多岁，即《兄弟》到《第七天》期间，但那段时光被浪费，只出了两部作品。
- **搁置的长篇**：2006年开始的一部长篇小说，实践跨度与《兄弟》相同，因感觉远去而搁置。
- **时间预估**：余华估计自己还能好好写作的时间大约十年左右。
### 人生感悟与海流经历
- **童年经历**：余华童年游泳被海流带走，游到40里外的地方才爬上来，以此比喻人生。
- **人生视角变化**：小时候第一次看到大海感受到人生的宽广，小时候的人生向前看，现在的人生往后看，回忆占多。
- **星空记忆**：余华在三亚看到童年星空，发现月光是金色的。
### 对批评的态度与网络时代形象
- **《兄弟》的批评浪潮**：《兄弟》出版时余华期待赞扬，结果遭遇一片骂声。
- **《第七天》的应对**：《第七天》出版时余华只接受了一个采访，选择不回应批评。
- **批评的区分**：余华区分有道理和无道理的批评。批评宋凡平人物太完美是无道理的，因为宋凡平是阶段性人物；批评《第七天》中社会底层人未必都善良则是有道理的，提醒了后续写作。
- **网络时代形象**：余华认为互联网上关于他说的话有一半不是他说的，采取不看负面消息的方式应对批评。
### 文学理想与未来规划
- **对马尔克斯的反思**：余华认为马尔克斯误导了一代中国作家，我们这一代作家都想在一本书里写一个世纪的故事，但没必要，托尔斯泰、狄更斯等作家都是写自己时代的故事。
- **莎士比亚故居趣事**：余华与莫言、苏童同游莎士比亚故居，莫言在雕塑前发誓要成为剧作家是瞎扯，当时他在挑选帽子，帽子钱还是余华付的。
- **未来规划**：余华计划先完成一部喜剧，改变读者对他的印象，并表示不再追求写作的高度，而是追求宽度。
## 金句总结
&gt; “我们整整一代中国作家都想在一本书里边写那个一个世纪的故事，但是其实没有必要。”
&gt; —— **余华**（谈到马尔克斯对一代中国作家的误导，认为托尔斯泰、狄更斯等作家都是写自己时代的故事）
&gt; “有些批评是没有道理的。比如说有有有有一些人批评，就说是我把宋凡平这个人物写的太完美了。”
&gt; —— **余华**（回应《兄弟》出版时遭遇的批评浪潮，区分有道理和无道理的批评）
&gt; “他在那所谓的那个那个发誓啊什么制度之类的那种，那都是他瞎扯你知道吗？”
&gt; —— **余华**（谈到与莫言、苏童同游莎士比亚故居时，莫言在雕塑前发誓要成为剧作家的趣事）</t>
        </is>
      </c>
      <c r="D37" s="10" t="n">
        <v>55.9</v>
      </c>
      <c r="E37" t="inlineStr">
        <is>
          <t>11212/1973</t>
        </is>
      </c>
    </row>
    <row r="38" ht="13.5" customHeight="1" s="9">
      <c r="A38" s="6" t="inlineStr">
        <is>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is>
      </c>
      <c r="B38" s="2" t="inlineStr">
        <is>
          <t>专题讲座</t>
        </is>
      </c>
      <c r="C38" t="inlineStr">
        <is>
          <t># 柏林战役历史研讨会：背景、进程与战后格局
## 讲座概况
本次研讨会以柏林战役为主题，主讲人系统梳理了战役背景、双方兵力部署、战役进程、希特勒自杀细节、苏军占领柏林及德国投降等历史事实，并解答了与会者关于城市作战特点、英美未攻柏林原因、影视推荐、战役持续时间及战后格局等问题。会议确认柏林战役是二战欧洲战场最后一次大规模战斗，也是人类历史上最大规模的城市作战。
战役背景方面，1945年同盟国与苏俄已从不同方向攻入德国本土，苏军进抵奥德河、尼斯河一线，距柏林60公里；英美联军在易北河一带，距柏林100-120公里。苏军由白俄罗斯第一方面军（朱可夫元帅）与乌克兰第一方面军（科涅夫元帅）组成，总计约250万人，从北部什切青到南部德累斯顿形成合围网；德军防守兵力约100万人，包括中央集团军群残部、柏林卫戍部队及由老人和16岁以下孩子组成的国民掷弹兵部队。
战役进程方面，1945年4月16日苏军以数千门火炮和喀秋莎火箭炮轰击德军阵地，白俄罗斯第一方面军越过奥德河、乌克兰第一方面军越过尼斯河展开突击；4月20日左右进抵柏林城区（潘科区及帕卡洛镇一带），4月24日突进市区。德军温克第十二集团军与苏军周旋。4月30日，希特勒与其夫人爱娃·布劳恩在地堡自杀，尸体被部下用汽油焚烧，未留下完整遗体，导致外界说法不一。4月30日夜间苏军占领国会大厦，5月2日柏林德军全部投降，柏林城防司令魏德林宣布投降，温克第十二集团军残部渡过易北河向英美盟军投降。5月9日德国宣布无条件投降，交出领空、领海、机械设备及海外属地（荷兰、丹麦、挪威、波罗的海三国地区、捷克斯洛伐克），二战欧洲部分正式结束。
战后格局方面，柏林战役胜利奠定了冷战欧洲基调，德国分裂为东西两个德国，边界大致沿罗斯托克到图林根一线，直至1990年两德统一。关于英美未攻柏林的原因，主讲人指出盟国事先协议柏林战后属苏联占领区，艾森豪威尔认为攻占柏林会增加不必要伤亡且得不偿失，不如占领慕尼黑、斯图加特、纽伦堡、汉堡、法兰克福等精华地带。易北河会师是偶然事件，双方事先无交流；红旗插上国会大厦的旗帜是士兵用床单和颜料临时绘制，非标准苏军军旗，插旗士兵因手上戴有从德国老百姓抢来的手表，摄影师为国际观瞻让其重新摆拍。会议还确认日本于1945年9月2日在密苏里号军舰上签署无条件投降书，二战彻底结束。
## 核心观点
### 柏林战役是二战欧洲战场的终局之战
- **战役定位**：柏林战役是二战欧洲战场最后一次大规模战斗，也是苏德战争最后一场大规模战役，苏联为占领柏林不惜代价强攻。
- **兵力对比悬殊**：苏军两个方面军总计约250万人，从北部什切青到南部德累斯顿形成合围网；德军防守兵力约100万人，包括中央集团军群残部、柏林卫戍部队及国民掷弹兵部队（老人和16岁以下孩子组成的民兵）。
  - 苏军指挥官：白俄罗斯第一方面军朱可夫元帅、乌克兰第一方面军科涅夫元帅。
  - 位置优势：苏军距柏林60公里，英美联军在易北河一带距柏林100-120公里。
### 战役进程的关键节点
- **4月16日总攻开始**：苏军以数千门火炮和喀秋莎火箭炮轰击德军阵地，白俄罗斯第一方面军越过奥德河、乌克兰第一方面军越过尼斯河展开突击。
- **4月20日进抵城区**：苏军进抵柏林城区（潘科区及帕卡洛镇一带），4月24日突进柏林市区，德军温克第十二集团军与苏军周旋。
- **4月30日希特勒自杀**：希特勒与其夫人爱娃·布劳恩在地堡自杀，苏军距地堡仅两条街；尸体被部下用汽油焚烧，未留下完整遗体，导致外界说法不一。
  - 4月29日，希特勒与爱娃·布劳恩举行婚礼；4月30日，夫妇双双饮弹自尽。
- **5月2日柏林德军投降**：柏林城防司令魏德林宣布投降，温克第十二集团军残部渡过易北河向英美盟军投降。
- **5月9日德国无条件投降**：交出领空、领海、机械设备及海外属地（荷兰、丹麦、挪威、波罗的海三国地区、捷克斯洛伐克），二战欧洲部分正式结束。
### 柏林战役奠定冷战欧洲格局
- **德国分裂**：柏林战役胜利后，德国分裂为东西两个德国，边界大致沿罗斯托克到图林根一线，直到1990年两德统一。
- **英美未攻柏林的原因**：盟国事先协议柏林战后属苏联占领区；艾森豪威尔认为攻占柏林会增加不必要伤亡且得不偿失，不如占领慕尼黑、斯图加特、纽伦堡、汉堡、法兰克福等精华地带。
### 战役中的细节与趣事
- **易北河会师是偶然事件**：双方事先无交流。
- **红旗插上国会大厦的旗帜是临时制作**：士兵用床单和颜料绘制，非标准苏军军旗；插旗士兵手上戴有从德国老百姓抢来的手表，摄影师为国际观瞻让其重新摆拍。
## 金句总结
&gt; “柏林战役是人类历史上最大规模的城市作战。”
&gt; —— **主讲人**（介绍战役定位时）
&gt; “苏军距柏林60公里，英美联军在易北河一带距柏林100-120公里。”
&gt; —— **主讲人**（对比双方位置优势时）
&gt; “艾森豪威尔认为攻占柏林会增加不必要伤亡且得不偿失，不如占领慕尼黑、斯图加特、纽伦堡、汉堡、法兰克福等精华地带。”
&gt; —— **主讲人**（解释英美未攻柏林原因时）
&gt; “易北河会师是偶然事件，双方事先无交流。”
&gt; —— **主讲人**（讲述易北河会师细节时）
&gt; “红旗插上国会大厦的旗帜是士兵用床单和颜料临时绘制，非标准苏军军旗。”
&gt; —— **主讲人**（讲述插旗细节时）
## Q&amp;A 环节
**听众**：城市作战有什么特点？
**主讲人**：柏林战役是人类历史上最大规模的城市作战，苏军以数千门火炮和喀秋莎火箭炮轰击德军阵地后展开突击，城市作战中双方在街巷、建筑间展开激烈争夺。
**听众**：英美为什么没有攻打柏林？
**主讲人**：盟国事先协议柏林战后属苏联占领区；艾森豪威尔认为攻占柏林会增加不必要伤亡且得不偿失，不如占领慕尼黑、斯图加特、纽伦堡、汉堡、法兰克福等精华地带。
**听众**：有什么关于柏林战役的影视作品推荐？
**主讲人**：推荐苏联《柏林战役》和德国《帝国的毁灭》。
**听众**：战役持续了多长时间？
**主讲人**：战役从1945年4月16日持续至5月2日，共约半个月。
**听众**：战后格局是怎样的？
**主讲人**：柏林战役胜利奠定了冷战欧洲基调，德国分裂为东西两个德国，边界大致沿罗斯托克到图林根一线，直到1990年两德统一。</t>
        </is>
      </c>
      <c r="D38" s="10" t="n">
        <v>62.4</v>
      </c>
      <c r="E38" t="inlineStr">
        <is>
          <t>4609/2670</t>
        </is>
      </c>
    </row>
    <row r="39" ht="13.5" customHeight="1" s="9">
      <c r="A39" s="6" t="inlineStr">
        <is>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is>
      </c>
      <c r="B39" s="2" t="inlineStr">
        <is>
          <t>通用纪要</t>
        </is>
      </c>
      <c r="C39" t="inlineStr">
        <is>
          <t># 通用纪要
## 全文摘要
本次会议为多人参与的开放式闲聊讨论，围绕生活中约定俗成规则（如必须结婚、买房、工作）的合理性展开，进而延伸到理想工作形态、AI与机器人承担苦活累活的可能性，以及机器人拥有思想意识后可能带来的风险等话题。讨论中穿插影视作品（如《终结者》、斯皮尔伯格电影、《数码宝贝》）和现实科技（如外骨骼、机械狗）的例证，观点开放，未形成明确结论。关于约定俗成规则，发言人1认为必须结婚、买房等规则不合理，经济好时可以，经济不好时不可以；发言人2强调取决于遇到的人和自身经济能力；发言人3认为必须工作是合理的；发言人1补充工作可能合理，但应基于兴趣而非金钱。关于理想工作形态，发言人1认为每天按兴趣干活很好，发言人4提出不干活更好，发言人3举例宠物博主工作好，发言人2提到游戏高手。
发言人1指出总有脏活累活没人承担，发言人3认为应让AI做苦活累活而非创作，发言人2引用蔡明小品中机器人煮牛肉汤的例子，讨论机器人干苦活累活后人类幸福感是否更高。关于机器人拥有思想意识的风险，发言人2提出机器人有独立思想后可能反抗人类，如《终结者》剧情；发言人3提到斯皮尔伯格电影《人工智能》的结局；发言人5认为机器人只需执行命令无需思想；发言人3认为智能和思想无法分开。发言人2列举机器人成为犯罪代理人、职业杀手等风险，并提到现实中外骨骼、智能枪械、排雷机械狗等应用，引用《重返德军总部》超级战士和《数码宝贝》中安多路兽的例子，提到人脸识别构想。会议最后测试语音分离标注功能，发言人3提到该功能用于同时多人说话场景，发言人1询问两人一起说话时标注情况，认为单人麦很强，发言人3提议结束讨论，发言人4和发言人2同意停止。
## 要点梳理
### 讨论约定俗成规则的不合理性
- **规则合理性分歧**：发言人1认为必须结婚、买房等约定俗成规则不合理，经济好时可以，经济不好时不可以；发言人2认为结婚、买房、升职取决于遇到的人和自身经济能力；发言人3认为必须工作是合理的。
- **工作与兴趣**：发言人1认为工作可能合理，但应基于兴趣，不应与金钱挂钩。
### 理想工作形态与AI承担苦活累活
- **理想工作状态**：发言人1认为每天按兴趣干活很好；发言人4提出不干活更好；发言人3举例宠物博主工作好，每天发宠物视频剪视频赚钱；发言人2提到游戏高手。
- **脏活累活的承担**：发言人1指出总有脏活累活没人承担；发言人3认为应让AI做苦活累活，而不是创作。
- **机器人干苦活累活**：发言人2引用蔡明小品中机器人煮牛肉汤的例子，讨论机器人干苦活累活后人类幸福感是否更高。
### 机器人拥有思想意识的风险与影视例证
- **机器人反抗人类**：发言人2提出机器人有独立思想后可能不甘被压迫，反抗并奴役人类，如《终结者》剧情。
- **智能与思想的关系**：发言人5认为机器人只需执行命令，不需要思想；发言人3认为智能和思想无法分开。
- **风险列举**：发言人2列举机器人成为犯罪代理人、职业杀手等风险，并提到现实中外骨骼、智能枪械、排雷机械狗等应用。
- **影视与科技例证**：发言人3提到斯皮尔伯格电影《人工智能》的结局；发言人2引用《重返德军总部》超级战士和《数码宝贝》中安多路兽的例子，提到人脸识别构想。
### 测试语音分离标注功能
- **功能测试**：发言人3提到语音分离功能，用于同时多人说话场景；发言人1询问两人一起说话时标注情况，认为单人麦很强。
- **结束讨论**：发言人3提议结束讨论，发言人4和发言人2同意停止。
## 结论与决定
- **结束讨论**：发言人3提议结束讨论，发言人4和发言人2同意停止，会议决定结束讨论并停止语音分离标注测试。</t>
        </is>
      </c>
      <c r="D39" s="10" t="n">
        <v>44.1</v>
      </c>
      <c r="E39" t="inlineStr">
        <is>
          <t>3931/1553</t>
        </is>
      </c>
    </row>
    <row r="40" ht="13.5" customHeight="1" s="9">
      <c r="A40" s="6" t="inlineStr">
        <is>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is>
      </c>
      <c r="B40" s="2" t="inlineStr">
        <is>
          <t>通用纪要</t>
        </is>
      </c>
      <c r="C40" t="inlineStr">
        <is>
          <t># 通用纪要
## 全文摘要
本次会议为一场围绕哥斯拉系列电影剧情、设定及衍生现实话题的闲聊式讨论，由发言人1系统梳理哥斯拉IP自1954年诞生以来的发展脉络，发言人2补充个人经历，双方就核废水排放等现实问题展开交流。会议无明确议题、无正式决策，整体氛围轻松，以信息分享与观点交流为主。
在哥斯拉系列电影剧情梳理环节，发言人1详细介绍了哥斯拉的起源设定：1954年首部电影诞生，距今约70多年，哥斯拉为海底生物吸食核废料后变异而成的庞然大物，在日本神话中是大自然的守护神，因人类频繁核试验破坏生态而向人类展开报复。美国版剧情方面，2014年《哥斯拉》中哥斯拉与人类携手团灭以核废料为能源的雾托物种；2019年《哥斯拉怪兽之王》中，人类试图用水下子母弹使哥斯拉窒息，但外星生物基多拉突然降临，武器对其无效，哥斯拉险被溺死，后人类以核武器实爆唤醒哥斯拉，使其打败基多拉；2021年《哥斯拉大战金刚》中，人类反派势力将基多拉仅存的一个头颅加装机械装甲制成机械基多拉，金刚与哥斯拉不计前嫌联手将其击败。日本版剧情方面，2016年《新哥斯拉》中，哥斯拉吸收核废料不断升级变大，人类各种武器攻击反而增强其战斗力，最终以无人机投放炸弹耗尽能量，再用冷冻剂将其封印。
在哥斯拉与奥特曼等IP关联讨论环节，发言人1指出哥斯拉与奥特曼导演均为圆谷英二，但属于不同时间线：哥斯拉是地球本土物种，奥特曼来自奥特之星，两者均为正面形象，未直接战斗过。翼龙怪兽拉顿在奥特曼和哥斯拉作品中均与正派形象战斗过。此外，发言人1提及哥斯拉系列衍生出多部续集，如《哥斯拉大战机械哥斯拉》《哥斯拉最后的战斗》等，并提到2004年日本版《哥斯拉最后的战斗》有中国演员章子怡参演。
在核废水现实问题讨论环节，发言人1指出只要日本不停止排放核废水，哥斯拉题材就不会停，并认为日本决定权不在自身，受美国影响。发言人2补充在日本留学期间购买中国进口鱼类的经历，称中国进口鱼类价格便宜，而日本国产产品因民族自信价格昂贵。双方就核废水对健康的影响展开讨论，发言人1认为即使不吃海产品，日常饮水也可能受影响，但过滤成本高；发言人2表示目前未见变异案例，但存在白血病等病变。发言人1还提及切尔诺贝利核事故处理方式为水泥封存反应堆，普里皮亚季成为鬼城，方圆百里为无人区，认为其比日本排放核废水更负责任，并提到使命召唤4游戏中有一关涉及切尔诺贝利核废料任务。
## 要点梳理
### 哥斯拉系列电影剧情梳理
- **哥斯拉起源设定**：首部电影诞生于1954年，距今约70多年；哥斯拉为海底生物吸食核废料后变异而成的庞然大物，在日本神话中是大自然的守护神，因人类频繁核试验破坏生态而向人类展开报复。
  - 2014年《哥斯拉》：哥斯拉与人类携手团灭以核废料为能源的雾托物种。
  - 2019年《哥斯拉怪兽之王》：人类试图用水下子母弹使哥斯拉窒息，外星生物基多拉突然降临，武器对其无效，哥斯拉险被溺死；后人类以核武器实爆唤醒哥斯拉，使其打败基多拉。
  - 2021年《哥斯拉大战金刚》：人类反派势力将基多拉仅存的一个头颅加装机械装甲制成机械基多拉，金刚与哥斯拉不计前嫌联手将其击败。
- **日本版剧情主线**：2016年《新哥斯拉》中，哥斯拉吸收核废料不断升级变大，人类各种武器攻击反而增强其战斗力，最终以无人机投放炸弹耗尽能量，再用冷冻剂将其封印。
- **角色设定**：基多拉为外星生物龙头老大；金刚领地为热带雨林，哥斯拉领地为海洋。
### 哥斯拉与奥特曼等IP关联讨论
- **导演关联**：哥斯拉与奥特曼导演均为圆谷英二，但属于不同时间线。
- **物种设定**：哥斯拉是地球本土物种，奥特曼来自奥特之星，两者均为正面形象，未直接战斗过。
- **拉顿角色**：翼龙怪兽拉顿在奥特曼和哥斯拉作品中均与正派形象战斗过。
- **系列衍生**：哥斯拉系列衍生出多部续集，如《哥斯拉大战机械哥斯拉》《哥斯拉最后的战斗》等；2004年日本版《哥斯拉最后的战斗》有中国演员章子怡参演。
### 核废水现实问题讨论
- **哥斯拉题材与现实关联**：发言人1指出只要日本不停止排放核废水，哥斯拉题材就不会停，并认为日本决定权不在自身，受美国影响。
- **个人经历补充**：发言人2在日本留学期间购买中国进口鱼类，称中国进口鱼类价格便宜，而日本国产产品因民族自信价格昂贵。
- **健康影响讨论**：发言人1认为即使不吃海产品，日常饮水也可能受影响，但过滤成本高；发言人2表示目前未见变异案例，但存在白血病等病变。
- **切尔诺贝利核事故对比**：发言人1提及切尔诺贝利核事故处理方式为水泥封存反应堆，普里皮亚季成为鬼城，方圆百里为无人区，认为其比日本排放核废水更负责任；并提到使命召唤4游戏中有一关涉及切尔诺贝利核废料任务。
## 结论与决定
本次会议为闲聊式讨论，未形成正式决议或共识结论。双方围绕哥斯拉系列电影剧情、设定及核废水现实话题进行了信息分享与观点交流，无明确议题、无决策事项、无行动分工。</t>
        </is>
      </c>
      <c r="D40" s="10" t="n">
        <v>48.1</v>
      </c>
      <c r="E40" t="inlineStr">
        <is>
          <t>5319/2088</t>
        </is>
      </c>
    </row>
    <row r="41" ht="13.5" customHeight="1" s="9">
      <c r="A41" s="6" t="inlineStr">
        <is>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is>
      </c>
      <c r="B41" s="2" t="inlineStr">
        <is>
          <t>小组讨论</t>
        </is>
      </c>
    </row>
    <row r="42" ht="13.5" customHeight="1" s="9">
      <c r="A42" s="6" t="inlineStr">
        <is>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is>
      </c>
      <c r="B42" s="2" t="inlineStr">
        <is>
          <t>小组讨论</t>
        </is>
      </c>
    </row>
    <row r="43" ht="13.5" customHeight="1" s="9">
      <c r="A43" s="6" t="inlineStr">
        <is>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is>
      </c>
      <c r="B43" s="2" t="inlineStr">
        <is>
          <t>通用纪要</t>
        </is>
      </c>
    </row>
    <row r="44" ht="13.5" customHeight="1" s="9">
      <c r="A44" s="6" t="inlineStr">
        <is>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is>
      </c>
      <c r="B44" s="2" t="inlineStr">
        <is>
          <t>专题讲座</t>
        </is>
      </c>
    </row>
    <row r="45" ht="13.5" customHeight="1" s="9">
      <c r="A45" s="6" t="inlineStr">
        <is>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is>
      </c>
      <c r="B45" s="2" t="inlineStr">
        <is>
          <t>对话记录</t>
        </is>
      </c>
    </row>
    <row r="46" ht="13.5" customHeight="1" s="9">
      <c r="A46" s="6" t="inlineStr">
        <is>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is>
      </c>
      <c r="B46" s="2" t="inlineStr">
        <is>
          <t>小组讨论</t>
        </is>
      </c>
    </row>
    <row r="47" ht="13.5" customHeight="1" s="9">
      <c r="A47" s="6" t="inlineStr">
        <is>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is>
      </c>
      <c r="B47" s="2" t="inlineStr">
        <is>
          <t>专题讲座</t>
        </is>
      </c>
    </row>
    <row r="48" ht="13.5" customHeight="1" s="9">
      <c r="A48" s="6" t="inlineStr">
        <is>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is>
      </c>
      <c r="B48" s="2" t="inlineStr">
        <is>
          <t>专题讲座</t>
        </is>
      </c>
    </row>
    <row r="49" ht="13.5" customHeight="1" s="9">
      <c r="A49" s="6" t="inlineStr">
        <is>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is>
      </c>
      <c r="B49" s="2" t="inlineStr">
        <is>
          <t>小组讨论</t>
        </is>
      </c>
    </row>
    <row r="50" ht="13.5" customHeight="1" s="9">
      <c r="A50" s="6" t="inlineStr">
        <is>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is>
      </c>
      <c r="B50" s="2" t="inlineStr">
        <is>
          <t>小组讨论</t>
        </is>
      </c>
    </row>
    <row r="51" ht="13.5" customHeight="1" s="9">
      <c r="A51" s="6" t="inlineStr">
        <is>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is>
      </c>
      <c r="B51" s="2" t="inlineStr">
        <is>
          <t>小组讨论</t>
        </is>
      </c>
    </row>
    <row r="52" ht="13.5" customHeight="1" s="9">
      <c r="A52" s="6" t="inlineStr">
        <is>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is>
      </c>
      <c r="B52" s="2" t="inlineStr">
        <is>
          <t>专题讲座</t>
        </is>
      </c>
    </row>
    <row r="53" ht="13.5" customHeight="1" s="9">
      <c r="A53" s="6" t="inlineStr">
        <is>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is>
      </c>
      <c r="B53" s="2" t="inlineStr">
        <is>
          <t>小组讨论</t>
        </is>
      </c>
    </row>
    <row r="54" ht="13.5" customHeight="1" s="9">
      <c r="A54" s="7" t="inlineStr">
        <is>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is>
      </c>
      <c r="B54" s="7" t="inlineStr">
        <is>
          <t>通用纪要</t>
        </is>
      </c>
    </row>
    <row r="55" ht="13.5" customHeight="1" s="9">
      <c r="A55" s="7" t="inlineStr">
        <is>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is>
      </c>
      <c r="B55" s="7" t="inlineStr">
        <is>
          <t>通用纪要</t>
        </is>
      </c>
    </row>
    <row r="56" ht="13.5" customHeight="1" s="9">
      <c r="A56" s="7" t="inlineStr">
        <is>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is>
      </c>
      <c r="B56" s="7" t="inlineStr">
        <is>
          <t>通用纪要</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3:I8"/>
  <sheetViews>
    <sheetView workbookViewId="0">
      <selection activeCell="B4" sqref="B4:B6"/>
    </sheetView>
  </sheetViews>
  <sheetFormatPr baseColWidth="8" defaultColWidth="9" defaultRowHeight="13.5"/>
  <sheetData>
    <row r="3">
      <c r="D3" s="1" t="inlineStr">
        <is>
          <t>准确性</t>
        </is>
      </c>
      <c r="E3" s="0" t="inlineStr">
        <is>
          <t>相关性</t>
        </is>
      </c>
      <c r="F3" s="0" t="inlineStr">
        <is>
          <t>通顺性</t>
        </is>
      </c>
      <c r="G3" s="0" t="inlineStr">
        <is>
          <t>其它问题</t>
        </is>
      </c>
      <c r="H3" s="1" t="inlineStr">
        <is>
          <t>MOS分</t>
        </is>
      </c>
      <c r="I3" s="1" t="inlineStr">
        <is>
          <t>模板准确性</t>
        </is>
      </c>
    </row>
    <row r="4">
      <c r="B4" s="8" t="inlineStr">
        <is>
          <t>竞品对比</t>
        </is>
      </c>
      <c r="C4" s="1" t="inlineStr">
        <is>
          <t>A</t>
        </is>
      </c>
      <c r="D4" s="0">
        <f>AVERAGE(竞品对比!#REF!)</f>
        <v/>
      </c>
      <c r="E4" s="0">
        <f>AVERAGE(竞品对比!#REF!)</f>
        <v/>
      </c>
      <c r="F4" s="0">
        <f>AVERAGE(竞品对比!#REF!)</f>
        <v/>
      </c>
      <c r="G4" s="3">
        <f>COUNTIF(竞品对比!#REF!,-5)/COUNTIF(竞品对比!#REF!,"&lt;&gt;")</f>
        <v/>
      </c>
      <c r="H4" s="0">
        <f>AVERAGE((竞品对比!#REF!+竞品对比!#REF!+竞品对比!#REF!)/3+竞品对比!#REF!)</f>
        <v/>
      </c>
    </row>
    <row r="5">
      <c r="C5" s="1" t="inlineStr">
        <is>
          <t>B</t>
        </is>
      </c>
      <c r="G5" s="3" t="n"/>
    </row>
    <row r="6">
      <c r="C6" s="1" t="inlineStr">
        <is>
          <t>C</t>
        </is>
      </c>
      <c r="G6" s="3" t="n"/>
    </row>
    <row r="7">
      <c r="B7" s="1" t="inlineStr">
        <is>
          <t>自定义模板</t>
        </is>
      </c>
    </row>
    <row r="8">
      <c r="B8" s="1" t="inlineStr">
        <is>
          <t>智能识别</t>
        </is>
      </c>
      <c r="I8" s="0">
        <f>COUNTIF(#REF!,“可用”)</f>
        <v/>
      </c>
    </row>
  </sheetData>
  <mergeCells count="1">
    <mergeCell ref="B4:B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2022-10-11T02:32:00Z</dcterms:created>
  <dcterms:modified xmlns:dcterms="http://purl.org/dc/terms/" xmlns:xsi="http://www.w3.org/2001/XMLSchema-instance" xsi:type="dcterms:W3CDTF">2026-10-11T02:28:27Z</dcterms:modified>
  <cp:lastModifiedBy>houyefei</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2052-0.0.0.0</vt:lpwstr>
  </property>
</Properties>
</file>